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2.xml" ContentType="application/vnd.openxmlformats-officedocument.spreadsheetml.tab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d3d0375e05b3b4f/Desktop/"/>
    </mc:Choice>
  </mc:AlternateContent>
  <xr:revisionPtr revIDLastSave="3" documentId="8_{AA71038A-5DFC-44AC-89D3-3EA5A4D52806}" xr6:coauthVersionLast="47" xr6:coauthVersionMax="47" xr10:uidLastSave="{2FAA0C87-83E4-43D3-99DB-05807C823EA3}"/>
  <bookViews>
    <workbookView xWindow="-108" yWindow="-108" windowWidth="23256" windowHeight="12456" activeTab="2" xr2:uid="{00000000-000D-0000-FFFF-FFFF00000000}"/>
  </bookViews>
  <sheets>
    <sheet name="Sheet1" sheetId="1" r:id="rId1"/>
    <sheet name="3.1" sheetId="5" r:id="rId2"/>
    <sheet name="3.2" sheetId="6" r:id="rId3"/>
    <sheet name="3.3" sheetId="16" r:id="rId4"/>
    <sheet name="3.4" sheetId="12" r:id="rId5"/>
    <sheet name="3.5" sheetId="19" r:id="rId6"/>
    <sheet name="3.6" sheetId="11" r:id="rId7"/>
    <sheet name="Sheet5" sheetId="20" r:id="rId8"/>
  </sheets>
  <definedNames>
    <definedName name="_xlnm._FilterDatabase" localSheetId="3" hidden="1">'3.3'!$A$1:$B$1</definedName>
    <definedName name="_xlchart.v1.0" hidden="1">Sheet1!$D$1</definedName>
    <definedName name="_xlchart.v1.1" hidden="1">Sheet1!$D$2:$D$47</definedName>
  </definedNames>
  <calcPr calcId="191029"/>
</workbook>
</file>

<file path=xl/calcChain.xml><?xml version="1.0" encoding="utf-8"?>
<calcChain xmlns="http://schemas.openxmlformats.org/spreadsheetml/2006/main">
  <c r="D20" i="20" l="1"/>
  <c r="D24" i="20"/>
  <c r="D22" i="20"/>
  <c r="D29" i="20"/>
  <c r="D12" i="20"/>
  <c r="D32" i="20"/>
  <c r="D38" i="20"/>
  <c r="D40" i="20"/>
  <c r="D2" i="20"/>
  <c r="D7" i="20"/>
  <c r="D33" i="20"/>
  <c r="D16" i="20"/>
  <c r="D26" i="20"/>
  <c r="D30" i="20"/>
  <c r="D14" i="20"/>
  <c r="D42" i="20"/>
  <c r="D44" i="20"/>
  <c r="D4" i="20"/>
  <c r="D19" i="20"/>
  <c r="D37" i="20"/>
  <c r="D34" i="20"/>
  <c r="D8" i="20"/>
  <c r="D5" i="20"/>
  <c r="D18" i="20"/>
  <c r="D47" i="20"/>
  <c r="D27" i="20"/>
  <c r="D21" i="20"/>
  <c r="D46" i="20"/>
  <c r="D10" i="20"/>
  <c r="D3" i="20"/>
  <c r="D35" i="20"/>
  <c r="D43" i="20"/>
  <c r="D31" i="20"/>
  <c r="D11" i="20"/>
  <c r="D6" i="20"/>
  <c r="D17" i="20"/>
  <c r="D25" i="20"/>
  <c r="D9" i="20"/>
  <c r="D28" i="20"/>
  <c r="D45" i="20"/>
  <c r="D39" i="20"/>
  <c r="D13" i="20"/>
  <c r="D36" i="20"/>
  <c r="D23" i="20"/>
  <c r="D15" i="20"/>
  <c r="C20" i="20"/>
  <c r="C24" i="20"/>
  <c r="C22" i="20"/>
  <c r="C29" i="20"/>
  <c r="C12" i="20"/>
  <c r="C32" i="20"/>
  <c r="C38" i="20"/>
  <c r="C40" i="20"/>
  <c r="C2" i="20"/>
  <c r="C7" i="20"/>
  <c r="C33" i="20"/>
  <c r="C16" i="20"/>
  <c r="C26" i="20"/>
  <c r="C30" i="20"/>
  <c r="C14" i="20"/>
  <c r="C42" i="20"/>
  <c r="C44" i="20"/>
  <c r="C4" i="20"/>
  <c r="C19" i="20"/>
  <c r="C37" i="20"/>
  <c r="C34" i="20"/>
  <c r="C8" i="20"/>
  <c r="C5" i="20"/>
  <c r="C18" i="20"/>
  <c r="C47" i="20"/>
  <c r="C27" i="20"/>
  <c r="C21" i="20"/>
  <c r="C46" i="20"/>
  <c r="C10" i="20"/>
  <c r="C3" i="20"/>
  <c r="C35" i="20"/>
  <c r="C43" i="20"/>
  <c r="C31" i="20"/>
  <c r="C11" i="20"/>
  <c r="C6" i="20"/>
  <c r="C17" i="20"/>
  <c r="C25" i="20"/>
  <c r="C9" i="20"/>
  <c r="C28" i="20"/>
  <c r="C45" i="20"/>
  <c r="C39" i="20"/>
  <c r="C13" i="20"/>
  <c r="C36" i="20"/>
  <c r="C23" i="20"/>
  <c r="C15" i="20"/>
  <c r="A41" i="20"/>
  <c r="C41" i="20" s="1"/>
  <c r="A8" i="11"/>
  <c r="D41" i="20" l="1"/>
  <c r="B34" i="16" l="1"/>
  <c r="B32" i="16" s="1"/>
  <c r="B17" i="16" s="1"/>
  <c r="A31" i="16"/>
  <c r="E50" i="1" l="1"/>
  <c r="D50" i="1"/>
  <c r="B50" i="1"/>
  <c r="E49" i="1"/>
  <c r="D49" i="1"/>
  <c r="B49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D17" i="1"/>
  <c r="G16" i="1"/>
  <c r="F16" i="1"/>
  <c r="G15" i="1"/>
  <c r="F15" i="1"/>
  <c r="D15" i="1"/>
  <c r="G14" i="1"/>
  <c r="F14" i="1"/>
  <c r="G13" i="1"/>
  <c r="F13" i="1"/>
  <c r="G12" i="1"/>
  <c r="F12" i="1"/>
  <c r="G11" i="1"/>
  <c r="F11" i="1"/>
  <c r="G10" i="1"/>
  <c r="F10" i="1"/>
  <c r="N9" i="1"/>
  <c r="G9" i="1"/>
  <c r="F9" i="1"/>
  <c r="G8" i="1"/>
  <c r="F8" i="1"/>
  <c r="B8" i="1"/>
  <c r="N7" i="1"/>
  <c r="L7" i="1"/>
  <c r="K7" i="1"/>
  <c r="G7" i="1"/>
  <c r="F7" i="1"/>
  <c r="N6" i="1"/>
  <c r="M6" i="1"/>
  <c r="L6" i="1"/>
  <c r="K6" i="1"/>
  <c r="G6" i="1"/>
  <c r="F6" i="1"/>
  <c r="M5" i="1"/>
  <c r="L5" i="1"/>
  <c r="K5" i="1"/>
  <c r="G5" i="1"/>
  <c r="F5" i="1"/>
  <c r="N4" i="1"/>
  <c r="M4" i="1"/>
  <c r="L4" i="1"/>
  <c r="K4" i="1"/>
  <c r="G4" i="1"/>
  <c r="F4" i="1"/>
  <c r="D4" i="1"/>
  <c r="N3" i="1"/>
  <c r="M3" i="1"/>
  <c r="L3" i="1"/>
  <c r="K3" i="1"/>
  <c r="G3" i="1"/>
  <c r="F3" i="1"/>
  <c r="M2" i="1"/>
  <c r="L2" i="1"/>
  <c r="K2" i="1"/>
  <c r="G2" i="1"/>
  <c r="F2" i="1"/>
</calcChain>
</file>

<file path=xl/sharedStrings.xml><?xml version="1.0" encoding="utf-8"?>
<sst xmlns="http://schemas.openxmlformats.org/spreadsheetml/2006/main" count="129" uniqueCount="29">
  <si>
    <t>ID</t>
  </si>
  <si>
    <t>Age</t>
  </si>
  <si>
    <t>Gender</t>
  </si>
  <si>
    <t>Income</t>
  </si>
  <si>
    <t>Purchased</t>
  </si>
  <si>
    <t>Male</t>
  </si>
  <si>
    <t>Yes</t>
  </si>
  <si>
    <t>Female</t>
  </si>
  <si>
    <t>No</t>
  </si>
  <si>
    <t>Out of Range</t>
  </si>
  <si>
    <t>Nor. Income</t>
  </si>
  <si>
    <t>Lower</t>
  </si>
  <si>
    <t>Upper</t>
  </si>
  <si>
    <t>Frequency</t>
  </si>
  <si>
    <t>Relative Fre.</t>
  </si>
  <si>
    <t>% Frequency</t>
  </si>
  <si>
    <t>Column1</t>
  </si>
  <si>
    <t>Column2</t>
  </si>
  <si>
    <t>Bin</t>
  </si>
  <si>
    <t>Column3</t>
  </si>
  <si>
    <t>20-29</t>
  </si>
  <si>
    <t>30-39</t>
  </si>
  <si>
    <t>40-49</t>
  </si>
  <si>
    <t>50-59</t>
  </si>
  <si>
    <t>60-69</t>
  </si>
  <si>
    <t>More</t>
  </si>
  <si>
    <t>Stem</t>
  </si>
  <si>
    <t>Leaf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</si>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</sst>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9" fontId="0" fillId="0" borderId="0" xfId="1" applyFont="1" applyAlignment="1">
      <alignment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1" xfId="0" applyBorder="1"/>
    <xf numFmtId="0" fontId="4" fillId="0" borderId="2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Sheet1!$J$2:$J$6</c:f>
              <c:strCache>
                <c:ptCount val="5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</c:strCache>
            </c:strRef>
          </c:cat>
          <c:val>
            <c:numRef>
              <c:f>Sheet1!$K$2:$K$6</c:f>
              <c:numCache>
                <c:formatCode>General</c:formatCode>
                <c:ptCount val="5"/>
                <c:pt idx="0">
                  <c:v>12</c:v>
                </c:pt>
                <c:pt idx="1">
                  <c:v>14</c:v>
                </c:pt>
                <c:pt idx="2">
                  <c:v>11</c:v>
                </c:pt>
                <c:pt idx="3">
                  <c:v>8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7E-4C7E-9637-40B302BB1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7181871"/>
        <c:axId val="617176111"/>
      </c:barChart>
      <c:catAx>
        <c:axId val="617181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176111"/>
        <c:crosses val="autoZero"/>
        <c:auto val="1"/>
        <c:lblAlgn val="ctr"/>
        <c:lblOffset val="100"/>
        <c:noMultiLvlLbl val="0"/>
      </c:catAx>
      <c:valAx>
        <c:axId val="61717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181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Sheet1!$B$2:$B$47</c:f>
              <c:numCache>
                <c:formatCode>General</c:formatCode>
                <c:ptCount val="46"/>
                <c:pt idx="0">
                  <c:v>23</c:v>
                </c:pt>
                <c:pt idx="1">
                  <c:v>34</c:v>
                </c:pt>
                <c:pt idx="2">
                  <c:v>45</c:v>
                </c:pt>
                <c:pt idx="3">
                  <c:v>25</c:v>
                </c:pt>
                <c:pt idx="4">
                  <c:v>36</c:v>
                </c:pt>
                <c:pt idx="5">
                  <c:v>52</c:v>
                </c:pt>
                <c:pt idx="6">
                  <c:v>38</c:v>
                </c:pt>
                <c:pt idx="7">
                  <c:v>27</c:v>
                </c:pt>
                <c:pt idx="8">
                  <c:v>38</c:v>
                </c:pt>
                <c:pt idx="9">
                  <c:v>48</c:v>
                </c:pt>
                <c:pt idx="10">
                  <c:v>30</c:v>
                </c:pt>
                <c:pt idx="11">
                  <c:v>41</c:v>
                </c:pt>
                <c:pt idx="12">
                  <c:v>27</c:v>
                </c:pt>
                <c:pt idx="13">
                  <c:v>33</c:v>
                </c:pt>
                <c:pt idx="14">
                  <c:v>55</c:v>
                </c:pt>
                <c:pt idx="15">
                  <c:v>46</c:v>
                </c:pt>
                <c:pt idx="16">
                  <c:v>62</c:v>
                </c:pt>
                <c:pt idx="17">
                  <c:v>29</c:v>
                </c:pt>
                <c:pt idx="18">
                  <c:v>39</c:v>
                </c:pt>
                <c:pt idx="19">
                  <c:v>50</c:v>
                </c:pt>
                <c:pt idx="20">
                  <c:v>24</c:v>
                </c:pt>
                <c:pt idx="21">
                  <c:v>28</c:v>
                </c:pt>
                <c:pt idx="22">
                  <c:v>37</c:v>
                </c:pt>
                <c:pt idx="23">
                  <c:v>41</c:v>
                </c:pt>
                <c:pt idx="24">
                  <c:v>31</c:v>
                </c:pt>
                <c:pt idx="25">
                  <c:v>53</c:v>
                </c:pt>
                <c:pt idx="26">
                  <c:v>59</c:v>
                </c:pt>
                <c:pt idx="27">
                  <c:v>26</c:v>
                </c:pt>
                <c:pt idx="28">
                  <c:v>34</c:v>
                </c:pt>
                <c:pt idx="29">
                  <c:v>49</c:v>
                </c:pt>
                <c:pt idx="30">
                  <c:v>22</c:v>
                </c:pt>
                <c:pt idx="31">
                  <c:v>40</c:v>
                </c:pt>
                <c:pt idx="32">
                  <c:v>47</c:v>
                </c:pt>
                <c:pt idx="33">
                  <c:v>29</c:v>
                </c:pt>
                <c:pt idx="34">
                  <c:v>56</c:v>
                </c:pt>
                <c:pt idx="35">
                  <c:v>42</c:v>
                </c:pt>
                <c:pt idx="36">
                  <c:v>31</c:v>
                </c:pt>
                <c:pt idx="37">
                  <c:v>33</c:v>
                </c:pt>
                <c:pt idx="38">
                  <c:v>45</c:v>
                </c:pt>
                <c:pt idx="39">
                  <c:v>51</c:v>
                </c:pt>
                <c:pt idx="40">
                  <c:v>26</c:v>
                </c:pt>
                <c:pt idx="41">
                  <c:v>39</c:v>
                </c:pt>
                <c:pt idx="42">
                  <c:v>38</c:v>
                </c:pt>
                <c:pt idx="43">
                  <c:v>52</c:v>
                </c:pt>
                <c:pt idx="44">
                  <c:v>47</c:v>
                </c:pt>
                <c:pt idx="45">
                  <c:v>25</c:v>
                </c:pt>
              </c:numCache>
            </c:numRef>
          </c:xVal>
          <c:yVal>
            <c:numRef>
              <c:f>Sheet1!$D$2:$D$47</c:f>
              <c:numCache>
                <c:formatCode>General</c:formatCode>
                <c:ptCount val="46"/>
                <c:pt idx="0">
                  <c:v>45000</c:v>
                </c:pt>
                <c:pt idx="1">
                  <c:v>52000</c:v>
                </c:pt>
                <c:pt idx="2">
                  <c:v>59000</c:v>
                </c:pt>
                <c:pt idx="3">
                  <c:v>43000</c:v>
                </c:pt>
                <c:pt idx="4">
                  <c:v>59000</c:v>
                </c:pt>
                <c:pt idx="5">
                  <c:v>80000</c:v>
                </c:pt>
                <c:pt idx="6">
                  <c:v>95000</c:v>
                </c:pt>
                <c:pt idx="7">
                  <c:v>46000</c:v>
                </c:pt>
                <c:pt idx="8">
                  <c:v>71000</c:v>
                </c:pt>
                <c:pt idx="9">
                  <c:v>65000</c:v>
                </c:pt>
                <c:pt idx="10">
                  <c:v>52000</c:v>
                </c:pt>
                <c:pt idx="11">
                  <c:v>57000</c:v>
                </c:pt>
                <c:pt idx="12">
                  <c:v>48000</c:v>
                </c:pt>
                <c:pt idx="13">
                  <c:v>59000</c:v>
                </c:pt>
                <c:pt idx="14">
                  <c:v>75000</c:v>
                </c:pt>
                <c:pt idx="15">
                  <c:v>59000</c:v>
                </c:pt>
                <c:pt idx="16">
                  <c:v>90000</c:v>
                </c:pt>
                <c:pt idx="17">
                  <c:v>47000</c:v>
                </c:pt>
                <c:pt idx="18">
                  <c:v>67000</c:v>
                </c:pt>
                <c:pt idx="19">
                  <c:v>82000</c:v>
                </c:pt>
                <c:pt idx="20">
                  <c:v>44000</c:v>
                </c:pt>
                <c:pt idx="21">
                  <c:v>46000</c:v>
                </c:pt>
                <c:pt idx="22">
                  <c:v>60000</c:v>
                </c:pt>
                <c:pt idx="23">
                  <c:v>68000</c:v>
                </c:pt>
                <c:pt idx="24">
                  <c:v>55000</c:v>
                </c:pt>
                <c:pt idx="25">
                  <c:v>79000</c:v>
                </c:pt>
                <c:pt idx="26">
                  <c:v>94000</c:v>
                </c:pt>
                <c:pt idx="27">
                  <c:v>49000</c:v>
                </c:pt>
                <c:pt idx="28">
                  <c:v>53000</c:v>
                </c:pt>
                <c:pt idx="29">
                  <c:v>68000</c:v>
                </c:pt>
                <c:pt idx="30">
                  <c:v>46000</c:v>
                </c:pt>
                <c:pt idx="31">
                  <c:v>55000</c:v>
                </c:pt>
                <c:pt idx="32">
                  <c:v>71000</c:v>
                </c:pt>
                <c:pt idx="33">
                  <c:v>49000</c:v>
                </c:pt>
                <c:pt idx="34">
                  <c:v>77000</c:v>
                </c:pt>
                <c:pt idx="35">
                  <c:v>65000</c:v>
                </c:pt>
                <c:pt idx="36">
                  <c:v>52000</c:v>
                </c:pt>
                <c:pt idx="37">
                  <c:v>58000</c:v>
                </c:pt>
                <c:pt idx="38">
                  <c:v>68000</c:v>
                </c:pt>
                <c:pt idx="39">
                  <c:v>80000</c:v>
                </c:pt>
                <c:pt idx="40">
                  <c:v>45000</c:v>
                </c:pt>
                <c:pt idx="41">
                  <c:v>55000</c:v>
                </c:pt>
                <c:pt idx="42">
                  <c:v>60000</c:v>
                </c:pt>
                <c:pt idx="43">
                  <c:v>72000</c:v>
                </c:pt>
                <c:pt idx="44">
                  <c:v>65000</c:v>
                </c:pt>
                <c:pt idx="45">
                  <c:v>48000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75-463A-AC9A-2DF2AFB9D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228799"/>
        <c:axId val="962245599"/>
      </c:scatterChart>
      <c:valAx>
        <c:axId val="962228799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245599"/>
        <c:crosses val="autoZero"/>
        <c:crossBetween val="midCat"/>
      </c:valAx>
      <c:valAx>
        <c:axId val="962245599"/>
        <c:scaling>
          <c:orientation val="minMax"/>
          <c:min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22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'3.3'!$A$1</c:f>
              <c:strCache>
                <c:ptCount val="1"/>
                <c:pt idx="0">
                  <c:v>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'3.3'!$A$2:$A$47</c:f>
              <c:numCache>
                <c:formatCode>General</c:formatCode>
                <c:ptCount val="46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25</c:v>
                </c:pt>
                <c:pt idx="5">
                  <c:v>26</c:v>
                </c:pt>
                <c:pt idx="6">
                  <c:v>26</c:v>
                </c:pt>
                <c:pt idx="7">
                  <c:v>27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31</c:v>
                </c:pt>
                <c:pt idx="15">
                  <c:v>33</c:v>
                </c:pt>
                <c:pt idx="16">
                  <c:v>33</c:v>
                </c:pt>
                <c:pt idx="17">
                  <c:v>34</c:v>
                </c:pt>
                <c:pt idx="18">
                  <c:v>34</c:v>
                </c:pt>
                <c:pt idx="19">
                  <c:v>36</c:v>
                </c:pt>
                <c:pt idx="20">
                  <c:v>37</c:v>
                </c:pt>
                <c:pt idx="21">
                  <c:v>38</c:v>
                </c:pt>
                <c:pt idx="22">
                  <c:v>38</c:v>
                </c:pt>
                <c:pt idx="23">
                  <c:v>39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41</c:v>
                </c:pt>
                <c:pt idx="28">
                  <c:v>42</c:v>
                </c:pt>
                <c:pt idx="29">
                  <c:v>47.5</c:v>
                </c:pt>
                <c:pt idx="30">
                  <c:v>45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47</c:v>
                </c:pt>
                <c:pt idx="35">
                  <c:v>48</c:v>
                </c:pt>
                <c:pt idx="36">
                  <c:v>49</c:v>
                </c:pt>
                <c:pt idx="37">
                  <c:v>50</c:v>
                </c:pt>
                <c:pt idx="38">
                  <c:v>51</c:v>
                </c:pt>
                <c:pt idx="39">
                  <c:v>52</c:v>
                </c:pt>
                <c:pt idx="40">
                  <c:v>52</c:v>
                </c:pt>
                <c:pt idx="41">
                  <c:v>53</c:v>
                </c:pt>
                <c:pt idx="42">
                  <c:v>55</c:v>
                </c:pt>
                <c:pt idx="43">
                  <c:v>56</c:v>
                </c:pt>
                <c:pt idx="44">
                  <c:v>59</c:v>
                </c:pt>
                <c:pt idx="45">
                  <c:v>62</c:v>
                </c:pt>
              </c:numCache>
            </c:numRef>
          </c:cat>
          <c:val>
            <c:numRef>
              <c:f>'3.3'!$A$2:$A$47</c:f>
              <c:numCache>
                <c:formatCode>General</c:formatCode>
                <c:ptCount val="46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25</c:v>
                </c:pt>
                <c:pt idx="5">
                  <c:v>26</c:v>
                </c:pt>
                <c:pt idx="6">
                  <c:v>26</c:v>
                </c:pt>
                <c:pt idx="7">
                  <c:v>27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31</c:v>
                </c:pt>
                <c:pt idx="15">
                  <c:v>33</c:v>
                </c:pt>
                <c:pt idx="16">
                  <c:v>33</c:v>
                </c:pt>
                <c:pt idx="17">
                  <c:v>34</c:v>
                </c:pt>
                <c:pt idx="18">
                  <c:v>34</c:v>
                </c:pt>
                <c:pt idx="19">
                  <c:v>36</c:v>
                </c:pt>
                <c:pt idx="20">
                  <c:v>37</c:v>
                </c:pt>
                <c:pt idx="21">
                  <c:v>38</c:v>
                </c:pt>
                <c:pt idx="22">
                  <c:v>38</c:v>
                </c:pt>
                <c:pt idx="23">
                  <c:v>39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41</c:v>
                </c:pt>
                <c:pt idx="28">
                  <c:v>42</c:v>
                </c:pt>
                <c:pt idx="29">
                  <c:v>47.5</c:v>
                </c:pt>
                <c:pt idx="30">
                  <c:v>45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47</c:v>
                </c:pt>
                <c:pt idx="35">
                  <c:v>48</c:v>
                </c:pt>
                <c:pt idx="36">
                  <c:v>49</c:v>
                </c:pt>
                <c:pt idx="37">
                  <c:v>50</c:v>
                </c:pt>
                <c:pt idx="38">
                  <c:v>51</c:v>
                </c:pt>
                <c:pt idx="39">
                  <c:v>52</c:v>
                </c:pt>
                <c:pt idx="40">
                  <c:v>52</c:v>
                </c:pt>
                <c:pt idx="41">
                  <c:v>53</c:v>
                </c:pt>
                <c:pt idx="42">
                  <c:v>55</c:v>
                </c:pt>
                <c:pt idx="43">
                  <c:v>56</c:v>
                </c:pt>
                <c:pt idx="44">
                  <c:v>59</c:v>
                </c:pt>
                <c:pt idx="45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D-412C-824A-91E8320BBCCF}"/>
            </c:ext>
          </c:extLst>
        </c:ser>
        <c:ser>
          <c:idx val="1"/>
          <c:order val="1"/>
          <c:tx>
            <c:strRef>
              <c:f>'3.3'!$B$1</c:f>
              <c:strCache>
                <c:ptCount val="1"/>
                <c:pt idx="0">
                  <c:v>Income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'3.3'!$A$2:$A$47</c:f>
              <c:numCache>
                <c:formatCode>General</c:formatCode>
                <c:ptCount val="46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25</c:v>
                </c:pt>
                <c:pt idx="5">
                  <c:v>26</c:v>
                </c:pt>
                <c:pt idx="6">
                  <c:v>26</c:v>
                </c:pt>
                <c:pt idx="7">
                  <c:v>27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31</c:v>
                </c:pt>
                <c:pt idx="15">
                  <c:v>33</c:v>
                </c:pt>
                <c:pt idx="16">
                  <c:v>33</c:v>
                </c:pt>
                <c:pt idx="17">
                  <c:v>34</c:v>
                </c:pt>
                <c:pt idx="18">
                  <c:v>34</c:v>
                </c:pt>
                <c:pt idx="19">
                  <c:v>36</c:v>
                </c:pt>
                <c:pt idx="20">
                  <c:v>37</c:v>
                </c:pt>
                <c:pt idx="21">
                  <c:v>38</c:v>
                </c:pt>
                <c:pt idx="22">
                  <c:v>38</c:v>
                </c:pt>
                <c:pt idx="23">
                  <c:v>39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41</c:v>
                </c:pt>
                <c:pt idx="28">
                  <c:v>42</c:v>
                </c:pt>
                <c:pt idx="29">
                  <c:v>47.5</c:v>
                </c:pt>
                <c:pt idx="30">
                  <c:v>45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47</c:v>
                </c:pt>
                <c:pt idx="35">
                  <c:v>48</c:v>
                </c:pt>
                <c:pt idx="36">
                  <c:v>49</c:v>
                </c:pt>
                <c:pt idx="37">
                  <c:v>50</c:v>
                </c:pt>
                <c:pt idx="38">
                  <c:v>51</c:v>
                </c:pt>
                <c:pt idx="39">
                  <c:v>52</c:v>
                </c:pt>
                <c:pt idx="40">
                  <c:v>52</c:v>
                </c:pt>
                <c:pt idx="41">
                  <c:v>53</c:v>
                </c:pt>
                <c:pt idx="42">
                  <c:v>55</c:v>
                </c:pt>
                <c:pt idx="43">
                  <c:v>56</c:v>
                </c:pt>
                <c:pt idx="44">
                  <c:v>59</c:v>
                </c:pt>
                <c:pt idx="45">
                  <c:v>62</c:v>
                </c:pt>
              </c:numCache>
            </c:numRef>
          </c:cat>
          <c:val>
            <c:numRef>
              <c:f>'3.3'!$B$2:$B$47</c:f>
              <c:numCache>
                <c:formatCode>General</c:formatCode>
                <c:ptCount val="46"/>
                <c:pt idx="0">
                  <c:v>46000</c:v>
                </c:pt>
                <c:pt idx="1">
                  <c:v>45000</c:v>
                </c:pt>
                <c:pt idx="2">
                  <c:v>44000</c:v>
                </c:pt>
                <c:pt idx="3">
                  <c:v>43000</c:v>
                </c:pt>
                <c:pt idx="4">
                  <c:v>48000</c:v>
                </c:pt>
                <c:pt idx="5">
                  <c:v>49000</c:v>
                </c:pt>
                <c:pt idx="6">
                  <c:v>45000</c:v>
                </c:pt>
                <c:pt idx="7">
                  <c:v>46000</c:v>
                </c:pt>
                <c:pt idx="8">
                  <c:v>48000</c:v>
                </c:pt>
                <c:pt idx="9">
                  <c:v>46000</c:v>
                </c:pt>
                <c:pt idx="10">
                  <c:v>47000</c:v>
                </c:pt>
                <c:pt idx="11">
                  <c:v>49000</c:v>
                </c:pt>
                <c:pt idx="12">
                  <c:v>52000</c:v>
                </c:pt>
                <c:pt idx="13">
                  <c:v>55000</c:v>
                </c:pt>
                <c:pt idx="14">
                  <c:v>52000</c:v>
                </c:pt>
                <c:pt idx="15">
                  <c:v>65000</c:v>
                </c:pt>
                <c:pt idx="16">
                  <c:v>58000</c:v>
                </c:pt>
                <c:pt idx="17">
                  <c:v>52000</c:v>
                </c:pt>
                <c:pt idx="18">
                  <c:v>53000</c:v>
                </c:pt>
                <c:pt idx="19">
                  <c:v>59000</c:v>
                </c:pt>
                <c:pt idx="20">
                  <c:v>60000</c:v>
                </c:pt>
                <c:pt idx="21">
                  <c:v>71000</c:v>
                </c:pt>
                <c:pt idx="22">
                  <c:v>60000</c:v>
                </c:pt>
                <c:pt idx="23">
                  <c:v>67000</c:v>
                </c:pt>
                <c:pt idx="24">
                  <c:v>55000</c:v>
                </c:pt>
                <c:pt idx="25">
                  <c:v>55000</c:v>
                </c:pt>
                <c:pt idx="26">
                  <c:v>57000</c:v>
                </c:pt>
                <c:pt idx="27">
                  <c:v>68000</c:v>
                </c:pt>
                <c:pt idx="28">
                  <c:v>65000</c:v>
                </c:pt>
                <c:pt idx="29">
                  <c:v>95000</c:v>
                </c:pt>
                <c:pt idx="30">
                  <c:v>72000</c:v>
                </c:pt>
                <c:pt idx="31">
                  <c:v>68000</c:v>
                </c:pt>
                <c:pt idx="32">
                  <c:v>68000</c:v>
                </c:pt>
                <c:pt idx="33">
                  <c:v>71000</c:v>
                </c:pt>
                <c:pt idx="34">
                  <c:v>65000</c:v>
                </c:pt>
                <c:pt idx="35">
                  <c:v>65000</c:v>
                </c:pt>
                <c:pt idx="36">
                  <c:v>68000</c:v>
                </c:pt>
                <c:pt idx="37">
                  <c:v>82000</c:v>
                </c:pt>
                <c:pt idx="38">
                  <c:v>80000</c:v>
                </c:pt>
                <c:pt idx="39">
                  <c:v>80000</c:v>
                </c:pt>
                <c:pt idx="40">
                  <c:v>72000</c:v>
                </c:pt>
                <c:pt idx="41">
                  <c:v>79000</c:v>
                </c:pt>
                <c:pt idx="42">
                  <c:v>75000</c:v>
                </c:pt>
                <c:pt idx="43">
                  <c:v>77000</c:v>
                </c:pt>
                <c:pt idx="44">
                  <c:v>94000</c:v>
                </c:pt>
                <c:pt idx="45">
                  <c:v>90000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D-412C-824A-91E8320BBCCF}"/>
            </c:ext>
          </c:extLst>
        </c:ser>
        <c:ser>
          <c:idx val="2"/>
          <c:order val="2"/>
          <c:tx>
            <c:strRef>
              <c:f>'3.3'!$A$1</c:f>
              <c:strCache>
                <c:ptCount val="1"/>
                <c:pt idx="0">
                  <c:v>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'3.3'!$A$2:$A$47</c:f>
              <c:numCache>
                <c:formatCode>General</c:formatCode>
                <c:ptCount val="46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25</c:v>
                </c:pt>
                <c:pt idx="5">
                  <c:v>26</c:v>
                </c:pt>
                <c:pt idx="6">
                  <c:v>26</c:v>
                </c:pt>
                <c:pt idx="7">
                  <c:v>27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31</c:v>
                </c:pt>
                <c:pt idx="15">
                  <c:v>33</c:v>
                </c:pt>
                <c:pt idx="16">
                  <c:v>33</c:v>
                </c:pt>
                <c:pt idx="17">
                  <c:v>34</c:v>
                </c:pt>
                <c:pt idx="18">
                  <c:v>34</c:v>
                </c:pt>
                <c:pt idx="19">
                  <c:v>36</c:v>
                </c:pt>
                <c:pt idx="20">
                  <c:v>37</c:v>
                </c:pt>
                <c:pt idx="21">
                  <c:v>38</c:v>
                </c:pt>
                <c:pt idx="22">
                  <c:v>38</c:v>
                </c:pt>
                <c:pt idx="23">
                  <c:v>39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41</c:v>
                </c:pt>
                <c:pt idx="28">
                  <c:v>42</c:v>
                </c:pt>
                <c:pt idx="29">
                  <c:v>47.5</c:v>
                </c:pt>
                <c:pt idx="30">
                  <c:v>45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47</c:v>
                </c:pt>
                <c:pt idx="35">
                  <c:v>48</c:v>
                </c:pt>
                <c:pt idx="36">
                  <c:v>49</c:v>
                </c:pt>
                <c:pt idx="37">
                  <c:v>50</c:v>
                </c:pt>
                <c:pt idx="38">
                  <c:v>51</c:v>
                </c:pt>
                <c:pt idx="39">
                  <c:v>52</c:v>
                </c:pt>
                <c:pt idx="40">
                  <c:v>52</c:v>
                </c:pt>
                <c:pt idx="41">
                  <c:v>53</c:v>
                </c:pt>
                <c:pt idx="42">
                  <c:v>55</c:v>
                </c:pt>
                <c:pt idx="43">
                  <c:v>56</c:v>
                </c:pt>
                <c:pt idx="44">
                  <c:v>59</c:v>
                </c:pt>
                <c:pt idx="45">
                  <c:v>62</c:v>
                </c:pt>
              </c:numCache>
            </c:numRef>
          </c:cat>
          <c:val>
            <c:numRef>
              <c:f>'3.3'!$A$2:$A$47</c:f>
              <c:numCache>
                <c:formatCode>General</c:formatCode>
                <c:ptCount val="46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25</c:v>
                </c:pt>
                <c:pt idx="5">
                  <c:v>26</c:v>
                </c:pt>
                <c:pt idx="6">
                  <c:v>26</c:v>
                </c:pt>
                <c:pt idx="7">
                  <c:v>27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31</c:v>
                </c:pt>
                <c:pt idx="15">
                  <c:v>33</c:v>
                </c:pt>
                <c:pt idx="16">
                  <c:v>33</c:v>
                </c:pt>
                <c:pt idx="17">
                  <c:v>34</c:v>
                </c:pt>
                <c:pt idx="18">
                  <c:v>34</c:v>
                </c:pt>
                <c:pt idx="19">
                  <c:v>36</c:v>
                </c:pt>
                <c:pt idx="20">
                  <c:v>37</c:v>
                </c:pt>
                <c:pt idx="21">
                  <c:v>38</c:v>
                </c:pt>
                <c:pt idx="22">
                  <c:v>38</c:v>
                </c:pt>
                <c:pt idx="23">
                  <c:v>39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41</c:v>
                </c:pt>
                <c:pt idx="28">
                  <c:v>42</c:v>
                </c:pt>
                <c:pt idx="29">
                  <c:v>47.5</c:v>
                </c:pt>
                <c:pt idx="30">
                  <c:v>45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47</c:v>
                </c:pt>
                <c:pt idx="35">
                  <c:v>48</c:v>
                </c:pt>
                <c:pt idx="36">
                  <c:v>49</c:v>
                </c:pt>
                <c:pt idx="37">
                  <c:v>50</c:v>
                </c:pt>
                <c:pt idx="38">
                  <c:v>51</c:v>
                </c:pt>
                <c:pt idx="39">
                  <c:v>52</c:v>
                </c:pt>
                <c:pt idx="40">
                  <c:v>52</c:v>
                </c:pt>
                <c:pt idx="41">
                  <c:v>53</c:v>
                </c:pt>
                <c:pt idx="42">
                  <c:v>55</c:v>
                </c:pt>
                <c:pt idx="43">
                  <c:v>56</c:v>
                </c:pt>
                <c:pt idx="44">
                  <c:v>59</c:v>
                </c:pt>
                <c:pt idx="45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CD-412C-824A-91E8320BB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1825359"/>
        <c:axId val="221825839"/>
      </c:lineChart>
      <c:catAx>
        <c:axId val="22182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825839"/>
        <c:crosses val="autoZero"/>
        <c:auto val="1"/>
        <c:lblAlgn val="ctr"/>
        <c:lblOffset val="100"/>
        <c:noMultiLvlLbl val="0"/>
      </c:catAx>
      <c:valAx>
        <c:axId val="221825839"/>
        <c:scaling>
          <c:orientation val="minMax"/>
          <c:min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82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690447667453679"/>
          <c:y val="0.16721658206429779"/>
          <c:w val="0.40126755758189014"/>
          <c:h val="0.68948765604807016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explosion val="2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A881-4B3D-B1AA-793BBAFF4E0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A881-4B3D-B1AA-793BBAFF4E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Sheet1!$E$49:$E$50</c:f>
              <c:numCache>
                <c:formatCode>General</c:formatCode>
                <c:ptCount val="2"/>
                <c:pt idx="0">
                  <c:v>31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81-4B3D-B1AA-793BBAFF4E0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Histogram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'3.5'!$A$2:$A$8</c:f>
              <c:strCache>
                <c:ptCount val="7"/>
                <c:pt idx="0">
                  <c:v>50000</c:v>
                </c:pt>
                <c:pt idx="1">
                  <c:v>60000</c:v>
                </c:pt>
                <c:pt idx="2">
                  <c:v>70000</c:v>
                </c:pt>
                <c:pt idx="3">
                  <c:v>80000</c:v>
                </c:pt>
                <c:pt idx="4">
                  <c:v>90000</c:v>
                </c:pt>
                <c:pt idx="5">
                  <c:v>100000</c:v>
                </c:pt>
                <c:pt idx="6">
                  <c:v>More</c:v>
                </c:pt>
              </c:strCache>
            </c:strRef>
          </c:cat>
          <c:val>
            <c:numRef>
              <c:f>'3.5'!$B$2:$B$8</c:f>
              <c:numCache>
                <c:formatCode>General</c:formatCode>
                <c:ptCount val="7"/>
                <c:pt idx="0">
                  <c:v>12</c:v>
                </c:pt>
                <c:pt idx="1">
                  <c:v>15</c:v>
                </c:pt>
                <c:pt idx="2">
                  <c:v>7</c:v>
                </c:pt>
                <c:pt idx="3">
                  <c:v>8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E7-40D9-AA81-7CDF317C73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731537151"/>
        <c:axId val="731522271"/>
      </c:barChart>
      <c:catAx>
        <c:axId val="731537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522271"/>
        <c:crosses val="autoZero"/>
        <c:auto val="1"/>
        <c:lblAlgn val="ctr"/>
        <c:lblOffset val="100"/>
        <c:noMultiLvlLbl val="0"/>
      </c:catAx>
      <c:valAx>
        <c:axId val="73152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53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'3.6'!$B$1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47625" cmpd="dbl">
                <a:solidFill>
                  <a:schemeClr val="accent1"/>
                </a:solidFill>
              </a:ln>
              <a:effectLst/>
            </c:spPr>
          </c:marker>
          <c:xVal>
            <c:numRef>
              <c:f>'3.6'!$A$2:$A$47</c:f>
              <c:numCache>
                <c:formatCode>General</c:formatCode>
                <c:ptCount val="46"/>
                <c:pt idx="0">
                  <c:v>23</c:v>
                </c:pt>
                <c:pt idx="1">
                  <c:v>34</c:v>
                </c:pt>
                <c:pt idx="2">
                  <c:v>45</c:v>
                </c:pt>
                <c:pt idx="3">
                  <c:v>25</c:v>
                </c:pt>
                <c:pt idx="4">
                  <c:v>36</c:v>
                </c:pt>
                <c:pt idx="5">
                  <c:v>52</c:v>
                </c:pt>
                <c:pt idx="6">
                  <c:v>38</c:v>
                </c:pt>
                <c:pt idx="7">
                  <c:v>27</c:v>
                </c:pt>
                <c:pt idx="8">
                  <c:v>38</c:v>
                </c:pt>
                <c:pt idx="9">
                  <c:v>48</c:v>
                </c:pt>
                <c:pt idx="10">
                  <c:v>30</c:v>
                </c:pt>
                <c:pt idx="11">
                  <c:v>41</c:v>
                </c:pt>
                <c:pt idx="12">
                  <c:v>27</c:v>
                </c:pt>
                <c:pt idx="13">
                  <c:v>33</c:v>
                </c:pt>
                <c:pt idx="14">
                  <c:v>55</c:v>
                </c:pt>
                <c:pt idx="15">
                  <c:v>46</c:v>
                </c:pt>
                <c:pt idx="16">
                  <c:v>62</c:v>
                </c:pt>
                <c:pt idx="17">
                  <c:v>29</c:v>
                </c:pt>
                <c:pt idx="18">
                  <c:v>39</c:v>
                </c:pt>
                <c:pt idx="19">
                  <c:v>50</c:v>
                </c:pt>
                <c:pt idx="20">
                  <c:v>24</c:v>
                </c:pt>
                <c:pt idx="21">
                  <c:v>28</c:v>
                </c:pt>
                <c:pt idx="22">
                  <c:v>37</c:v>
                </c:pt>
                <c:pt idx="23">
                  <c:v>41</c:v>
                </c:pt>
                <c:pt idx="24">
                  <c:v>31</c:v>
                </c:pt>
                <c:pt idx="25">
                  <c:v>53</c:v>
                </c:pt>
                <c:pt idx="26">
                  <c:v>59</c:v>
                </c:pt>
                <c:pt idx="27">
                  <c:v>26</c:v>
                </c:pt>
                <c:pt idx="28">
                  <c:v>34</c:v>
                </c:pt>
                <c:pt idx="29">
                  <c:v>49</c:v>
                </c:pt>
                <c:pt idx="30">
                  <c:v>22</c:v>
                </c:pt>
                <c:pt idx="31">
                  <c:v>40</c:v>
                </c:pt>
                <c:pt idx="32">
                  <c:v>47</c:v>
                </c:pt>
                <c:pt idx="33">
                  <c:v>29</c:v>
                </c:pt>
                <c:pt idx="34">
                  <c:v>56</c:v>
                </c:pt>
                <c:pt idx="35">
                  <c:v>42</c:v>
                </c:pt>
                <c:pt idx="36">
                  <c:v>31</c:v>
                </c:pt>
                <c:pt idx="37">
                  <c:v>33</c:v>
                </c:pt>
                <c:pt idx="38">
                  <c:v>45</c:v>
                </c:pt>
                <c:pt idx="39">
                  <c:v>51</c:v>
                </c:pt>
                <c:pt idx="40">
                  <c:v>26</c:v>
                </c:pt>
                <c:pt idx="41">
                  <c:v>39</c:v>
                </c:pt>
                <c:pt idx="42">
                  <c:v>38</c:v>
                </c:pt>
                <c:pt idx="43">
                  <c:v>52</c:v>
                </c:pt>
                <c:pt idx="44">
                  <c:v>47</c:v>
                </c:pt>
                <c:pt idx="45">
                  <c:v>25</c:v>
                </c:pt>
              </c:numCache>
            </c:numRef>
          </c:xVal>
          <c:yVal>
            <c:numRef>
              <c:f>'3.6'!$B$2:$B$47</c:f>
              <c:numCache>
                <c:formatCode>General</c:formatCode>
                <c:ptCount val="4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DE-4584-844E-92A911E10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317439"/>
        <c:axId val="203319839"/>
      </c:scatterChart>
      <c:valAx>
        <c:axId val="203317439"/>
        <c:scaling>
          <c:orientation val="minMax"/>
          <c:max val="62"/>
          <c:min val="2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19839"/>
        <c:crosses val="autoZero"/>
        <c:crossBetween val="midCat"/>
      </c:valAx>
      <c:valAx>
        <c:axId val="203319839"/>
        <c:scaling>
          <c:orientation val="minMax"/>
          <c:max val="2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3317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A37EC5F3-BD37-4637-B93C-4372A78EB227}">
          <cx:tx>
            <cx:txData>
              <cx:f>_xlchart.v1.0</cx:f>
              <cx:v>Income</cx:v>
            </cx:txData>
          </cx:tx>
          <cx:dataId val="0"/>
          <cx:layoutPr>
            <cx:binning intervalClosed="r">
              <cx:binSize val="10000"/>
            </cx:binning>
          </cx:layoutPr>
        </cx:series>
      </cx:plotAreaRegion>
      <cx:axis id="0">
        <cx:catScaling gapWidth="0.400000006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493986</xdr:colOff>
      <xdr:row>9</xdr:row>
      <xdr:rowOff>152400</xdr:rowOff>
    </xdr:from>
    <xdr:to>
      <xdr:col>14</xdr:col>
      <xdr:colOff>475594</xdr:colOff>
      <xdr:row>28</xdr:row>
      <xdr:rowOff>47297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69D63F1-308A-4698-B346-11217D3058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10866" y="1935480"/>
              <a:ext cx="5948068" cy="33696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5</xdr:row>
      <xdr:rowOff>22860</xdr:rowOff>
    </xdr:from>
    <xdr:to>
      <xdr:col>14</xdr:col>
      <xdr:colOff>160020</xdr:colOff>
      <xdr:row>25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8DA620-E5D9-4811-B37C-9FCA351500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16</xdr:col>
      <xdr:colOff>251460</xdr:colOff>
      <xdr:row>25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55BD6D-D846-4A25-BA02-1B575123E9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518160</xdr:colOff>
      <xdr:row>4</xdr:row>
      <xdr:rowOff>72390</xdr:rowOff>
    </xdr:from>
    <xdr:to>
      <xdr:col>17</xdr:col>
      <xdr:colOff>220980</xdr:colOff>
      <xdr:row>24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8785DE-17BA-26FD-1E1F-0CA7D01E5B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160020</xdr:colOff>
      <xdr:row>5</xdr:row>
      <xdr:rowOff>68580</xdr:rowOff>
    </xdr:from>
    <xdr:to>
      <xdr:col>11</xdr:col>
      <xdr:colOff>160020</xdr:colOff>
      <xdr:row>26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C98E36-666F-49D8-8036-CD5DAEDE36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175260</xdr:colOff>
      <xdr:row>17</xdr:row>
      <xdr:rowOff>152400</xdr:rowOff>
    </xdr:from>
    <xdr:to>
      <xdr:col>9</xdr:col>
      <xdr:colOff>83820</xdr:colOff>
      <xdr:row>19</xdr:row>
      <xdr:rowOff>167640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589A0F9-99A5-AE03-7D23-DDF37967BFE6}"/>
            </a:ext>
          </a:extLst>
        </xdr:cNvPr>
        <xdr:cNvSpPr txBox="1"/>
      </xdr:nvSpPr>
      <xdr:spPr>
        <a:xfrm>
          <a:off x="5052060" y="3261360"/>
          <a:ext cx="51816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/>
            <a:t>Yes</a:t>
          </a:r>
        </a:p>
      </xdr:txBody>
    </xdr:sp>
    <xdr:clientData/>
  </xdr:twoCellAnchor>
  <xdr:twoCellAnchor>
    <xdr:from>
      <xdr:col>3</xdr:col>
      <xdr:colOff>266700</xdr:colOff>
      <xdr:row>9</xdr:row>
      <xdr:rowOff>22860</xdr:rowOff>
    </xdr:from>
    <xdr:to>
      <xdr:col>4</xdr:col>
      <xdr:colOff>114300</xdr:colOff>
      <xdr:row>11</xdr:row>
      <xdr:rowOff>38100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DA5B2D1-1997-4274-AC5B-8BF85AE5B7C5}"/>
            </a:ext>
          </a:extLst>
        </xdr:cNvPr>
        <xdr:cNvSpPr txBox="1"/>
      </xdr:nvSpPr>
      <xdr:spPr>
        <a:xfrm>
          <a:off x="2095500" y="1668780"/>
          <a:ext cx="45720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/>
            <a:t>No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0</xdr:row>
      <xdr:rowOff>175260</xdr:rowOff>
    </xdr:from>
    <xdr:to>
      <xdr:col>13</xdr:col>
      <xdr:colOff>236220</xdr:colOff>
      <xdr:row>23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A8D3DC-F1BA-A885-016C-B3761797D1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3</xdr:row>
      <xdr:rowOff>76200</xdr:rowOff>
    </xdr:from>
    <xdr:to>
      <xdr:col>17</xdr:col>
      <xdr:colOff>7620</xdr:colOff>
      <xdr:row>24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82CDB4-D029-6BAD-75B4-5EAA979FB0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A6733C-5937-4DFF-A6F9-636F8CF0CBFB}" name="Table1" displayName="Table1" ref="A1:P47" totalsRowShown="0" headerRowDxfId="18" dataDxfId="17">
  <autoFilter ref="A1:P47" xr:uid="{88A6733C-5937-4DFF-A6F9-636F8CF0CBFB}"/>
  <tableColumns count="16">
    <tableColumn id="1" xr3:uid="{528622A2-3B51-4861-A443-24742AF636B0}" name="ID" dataDxfId="16"/>
    <tableColumn id="2" xr3:uid="{498CB454-4EF8-4678-9D2C-B63964CC1035}" name="Age" dataDxfId="15"/>
    <tableColumn id="3" xr3:uid="{B5DB31FC-C05D-4353-95F3-B8CEBEB052E9}" name="Gender" dataDxfId="14"/>
    <tableColumn id="4" xr3:uid="{AA61A7F1-3DB4-4B8B-ADCB-87CBFFB715C3}" name="Income" dataDxfId="13"/>
    <tableColumn id="5" xr3:uid="{6F75FAEF-23CD-4744-BA92-803B419547CA}" name="Purchased" dataDxfId="12"/>
    <tableColumn id="6" xr3:uid="{8AE71AE0-8B82-4274-B0CC-A7DE07EFDFE2}" name="Out of Range" dataDxfId="11">
      <calculatedColumnFormula>IF(OR(B2&lt;20, B2&gt;100), "Out of Range", "OK")</calculatedColumnFormula>
    </tableColumn>
    <tableColumn id="7" xr3:uid="{F223F795-EE24-47D8-A672-076D52297AA9}" name="Nor. Income" dataDxfId="10">
      <calculatedColumnFormula>(Table1[Income]-$D$50)/($D$49-$D$50)</calculatedColumnFormula>
    </tableColumn>
    <tableColumn id="8" xr3:uid="{D2D8AB64-9F29-4364-8905-92C9A840364B}" name="Lower" dataDxfId="9"/>
    <tableColumn id="9" xr3:uid="{90D3B736-47AE-4B82-B6C9-65E7A82F6062}" name="Upper" dataDxfId="8"/>
    <tableColumn id="17" xr3:uid="{87627A56-4EFB-4F3D-86F5-F86259AF27C1}" name="Column3" dataDxfId="7"/>
    <tableColumn id="10" xr3:uid="{A92D40C1-D4AF-4D6D-845B-AE15D4ACF27A}" name="Frequency" dataDxfId="6">
      <calculatedColumnFormula>COUNTIFS($B$2:$B$47,"&gt;="&amp;Table1[[#This Row],[Lower]],$B$2:$B$47,"&lt;="&amp;Table1[[#This Row],[Upper]])</calculatedColumnFormula>
    </tableColumn>
    <tableColumn id="11" xr3:uid="{48A94C8F-89C9-4227-83B9-29A259564984}" name="Relative Fre." dataDxfId="5">
      <calculatedColumnFormula>Table1[[#This Row],[Frequency]]/K7</calculatedColumnFormula>
    </tableColumn>
    <tableColumn id="12" xr3:uid="{DB439C60-F5F1-4D54-86A5-C790738207BB}" name="% Frequency" dataDxfId="4"/>
    <tableColumn id="13" xr3:uid="{8DEC79DD-7674-4910-9BEA-43BC126CE263}" name="Column1" dataDxfId="3"/>
    <tableColumn id="14" xr3:uid="{F5B3C2E3-76FE-4E18-A9CD-15F389FA15C3}" name="Column2" dataDxfId="2"/>
    <tableColumn id="15" xr3:uid="{10993EEB-15DD-4E41-B523-507B9ECF0FE7}" name="Bin" dataDxfId="1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3F1027-57DD-4C45-8FFD-2E6250EF1EA8}" name="Table3" displayName="Table3" ref="A1:B47" totalsRowShown="0">
  <autoFilter ref="A1:B47" xr:uid="{C23F1027-57DD-4C45-8FFD-2E6250EF1EA8}"/>
  <tableColumns count="2">
    <tableColumn id="1" xr3:uid="{017F5589-4F88-4952-BCA8-83DF5B7B1392}" name="Age" dataDxfId="0"/>
    <tableColumn id="2" xr3:uid="{9A960438-D89D-4B85-84E2-89B9AE31363C}" name="N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EC1098-4419-4C6B-B3BC-971B9434352C}" name="Table4" displayName="Table4" ref="A1:D48" totalsRowShown="0">
  <autoFilter ref="A1:D48" xr:uid="{54EC1098-4419-4C6B-B3BC-971B9434352C}"/>
  <sortState xmlns:xlrd2="http://schemas.microsoft.com/office/spreadsheetml/2017/richdata2" ref="A2:D48">
    <sortCondition ref="D2:D48"/>
  </sortState>
  <tableColumns count="4">
    <tableColumn id="1" xr3:uid="{59BC5146-62C1-4889-AE4A-22BC2B7C3B14}" name="Column1" dataDxfId="19"/>
    <tableColumn id="2" xr3:uid="{F7DFB559-3FD4-45E4-AFA4-E450EDA1444D}" name="Column2"/>
    <tableColumn id="3" xr3:uid="{F2FF9F0B-8426-44F2-99B7-3897FF251794}" name="Column3">
      <calculatedColumnFormula>INT(A2/10)</calculatedColumnFormula>
    </tableColumn>
    <tableColumn id="4" xr3:uid="{0CBAD862-5EE8-49EE-835F-D885D519606D}" name="Column4">
      <calculatedColumnFormula>MOD(A2, 10)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"/>
  <sheetViews>
    <sheetView topLeftCell="A29" zoomScale="145" zoomScaleNormal="145" workbookViewId="0">
      <selection activeCell="B1" sqref="B1:B47"/>
    </sheetView>
  </sheetViews>
  <sheetFormatPr defaultRowHeight="14.4" x14ac:dyDescent="0.3"/>
  <cols>
    <col min="1" max="1" width="7.21875" bestFit="1" customWidth="1"/>
    <col min="2" max="2" width="8.6640625" bestFit="1" customWidth="1"/>
    <col min="3" max="3" width="11.5546875" bestFit="1" customWidth="1"/>
    <col min="4" max="4" width="11.77734375" bestFit="1" customWidth="1"/>
    <col min="5" max="6" width="14.21875" bestFit="1" customWidth="1"/>
    <col min="7" max="7" width="12.77734375" customWidth="1"/>
    <col min="9" max="9" width="10.6640625" bestFit="1" customWidth="1"/>
    <col min="10" max="10" width="10.6640625" customWidth="1"/>
    <col min="11" max="11" width="14.21875" bestFit="1" customWidth="1"/>
    <col min="12" max="12" width="15.6640625" bestFit="1" customWidth="1"/>
    <col min="13" max="13" width="16.109375" bestFit="1" customWidth="1"/>
    <col min="14" max="14" width="10.77734375" bestFit="1" customWidth="1"/>
  </cols>
  <sheetData>
    <row r="1" spans="1:18" ht="25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9</v>
      </c>
      <c r="G1" s="6" t="s">
        <v>10</v>
      </c>
      <c r="H1" s="1" t="s">
        <v>11</v>
      </c>
      <c r="I1" s="1" t="s">
        <v>12</v>
      </c>
      <c r="J1" s="1" t="s">
        <v>19</v>
      </c>
      <c r="K1" s="1" t="s">
        <v>13</v>
      </c>
      <c r="L1" s="1" t="s">
        <v>14</v>
      </c>
      <c r="M1" s="1" t="s">
        <v>15</v>
      </c>
      <c r="N1" t="s">
        <v>16</v>
      </c>
      <c r="O1" s="1" t="s">
        <v>17</v>
      </c>
      <c r="P1" s="1" t="s">
        <v>18</v>
      </c>
      <c r="Q1" s="7"/>
      <c r="R1" s="7"/>
    </row>
    <row r="2" spans="1:18" x14ac:dyDescent="0.3">
      <c r="A2" s="2">
        <v>1</v>
      </c>
      <c r="B2" s="2">
        <v>23</v>
      </c>
      <c r="C2" s="2" t="s">
        <v>5</v>
      </c>
      <c r="D2" s="2">
        <v>45000</v>
      </c>
      <c r="E2" s="2" t="s">
        <v>6</v>
      </c>
      <c r="F2" t="str">
        <f t="shared" ref="F2:F47" si="0">IF(OR(B2&lt;20, B2&gt;100), "Out of Range", "OK")</f>
        <v>OK</v>
      </c>
      <c r="G2">
        <f>(Table1[Income]-$D$50)/($D$49-$D$50)</f>
        <v>3.8461538461538464E-2</v>
      </c>
      <c r="H2" s="2">
        <v>20</v>
      </c>
      <c r="I2" s="2">
        <v>29</v>
      </c>
      <c r="J2" s="2" t="s">
        <v>20</v>
      </c>
      <c r="K2" s="2">
        <f>COUNTIFS($B$2:$B$47,"&gt;="&amp;Table1[[#This Row],[Lower]],$B$2:$B$47,"&lt;="&amp;Table1[[#This Row],[Upper]])</f>
        <v>12</v>
      </c>
      <c r="L2" s="2">
        <f>K2/$K$7</f>
        <v>0.2608695652173913</v>
      </c>
      <c r="M2" s="8">
        <f>K2/$K$7</f>
        <v>0.2608695652173913</v>
      </c>
      <c r="N2" s="4" t="s">
        <v>5</v>
      </c>
      <c r="O2" s="2"/>
      <c r="P2" s="2">
        <v>50000</v>
      </c>
    </row>
    <row r="3" spans="1:18" x14ac:dyDescent="0.3">
      <c r="A3" s="2">
        <v>2</v>
      </c>
      <c r="B3" s="2">
        <v>34</v>
      </c>
      <c r="C3" s="2" t="s">
        <v>7</v>
      </c>
      <c r="D3" s="2">
        <v>52000</v>
      </c>
      <c r="E3" s="3" t="s">
        <v>6</v>
      </c>
      <c r="F3" t="str">
        <f t="shared" si="0"/>
        <v>OK</v>
      </c>
      <c r="G3">
        <f>(Table1[Income]-$D$50)/($D$49-$D$50)</f>
        <v>0.17307692307692307</v>
      </c>
      <c r="H3" s="2">
        <v>30</v>
      </c>
      <c r="I3" s="2">
        <v>39</v>
      </c>
      <c r="J3" s="2" t="s">
        <v>21</v>
      </c>
      <c r="K3" s="2">
        <f>COUNTIFS($B$2:$B$47,"&gt;="&amp;Table1[[#This Row],[Lower]],$B$2:$B$47,"&lt;="&amp;Table1[[#This Row],[Upper]])</f>
        <v>14</v>
      </c>
      <c r="L3" s="2">
        <f>K3/$K$7</f>
        <v>0.30434782608695654</v>
      </c>
      <c r="M3" s="8">
        <f>K3/$K$7</f>
        <v>0.30434782608695654</v>
      </c>
      <c r="N3" s="2">
        <f>COUNTIFS(Table1[Gender], "Male", Table1[Purchased], "Yes")</f>
        <v>15</v>
      </c>
      <c r="O3" s="2"/>
      <c r="P3" s="2">
        <v>60000</v>
      </c>
    </row>
    <row r="4" spans="1:18" x14ac:dyDescent="0.3">
      <c r="A4" s="2">
        <v>3</v>
      </c>
      <c r="B4" s="2">
        <v>45</v>
      </c>
      <c r="C4" s="2" t="s">
        <v>5</v>
      </c>
      <c r="D4" s="3">
        <f>MEDIAN(D2:D3,D5:D14,D16,D18:D47)</f>
        <v>59000</v>
      </c>
      <c r="E4" s="2" t="s">
        <v>6</v>
      </c>
      <c r="F4" t="str">
        <f t="shared" si="0"/>
        <v>OK</v>
      </c>
      <c r="G4">
        <f>(Table1[Income]-$D$50)/($D$49-$D$50)</f>
        <v>0.30769230769230771</v>
      </c>
      <c r="H4" s="2">
        <v>40</v>
      </c>
      <c r="I4" s="2">
        <v>49</v>
      </c>
      <c r="J4" s="2" t="s">
        <v>22</v>
      </c>
      <c r="K4" s="2">
        <f>COUNTIFS($B$2:$B$47,"&gt;="&amp;Table1[[#This Row],[Lower]],$B$2:$B$47,"&lt;="&amp;Table1[[#This Row],[Upper]])</f>
        <v>11</v>
      </c>
      <c r="L4" s="2">
        <f>K4/$K$7</f>
        <v>0.2391304347826087</v>
      </c>
      <c r="M4" s="8">
        <f>K4/$K$7</f>
        <v>0.2391304347826087</v>
      </c>
      <c r="N4">
        <f>COUNTIFS(Table1[Gender], "Male", Table1[Purchased], "No")</f>
        <v>8</v>
      </c>
      <c r="O4" s="2"/>
      <c r="P4" s="2">
        <v>70000</v>
      </c>
    </row>
    <row r="5" spans="1:18" x14ac:dyDescent="0.3">
      <c r="A5" s="2">
        <v>4</v>
      </c>
      <c r="B5" s="2">
        <v>25</v>
      </c>
      <c r="C5" s="2" t="s">
        <v>7</v>
      </c>
      <c r="D5" s="2">
        <v>43000</v>
      </c>
      <c r="E5" s="2" t="s">
        <v>8</v>
      </c>
      <c r="F5" t="str">
        <f t="shared" si="0"/>
        <v>OK</v>
      </c>
      <c r="G5">
        <f>(Table1[Income]-$D$50)/($D$49-$D$50)</f>
        <v>0</v>
      </c>
      <c r="H5" s="2">
        <v>50</v>
      </c>
      <c r="I5" s="2">
        <v>59</v>
      </c>
      <c r="J5" s="2" t="s">
        <v>23</v>
      </c>
      <c r="K5" s="2">
        <f>COUNTIFS($B$2:$B$47,"&gt;="&amp;Table1[[#This Row],[Lower]],$B$2:$B$47,"&lt;="&amp;Table1[[#This Row],[Upper]])</f>
        <v>8</v>
      </c>
      <c r="L5" s="2">
        <f>K5/$K$7</f>
        <v>0.17391304347826086</v>
      </c>
      <c r="M5" s="8">
        <f>K5/$K$7</f>
        <v>0.17391304347826086</v>
      </c>
      <c r="N5" s="4" t="s">
        <v>7</v>
      </c>
      <c r="O5" s="2"/>
      <c r="P5" s="2">
        <v>80000</v>
      </c>
    </row>
    <row r="6" spans="1:18" x14ac:dyDescent="0.3">
      <c r="A6" s="2">
        <v>5</v>
      </c>
      <c r="B6" s="2">
        <v>36</v>
      </c>
      <c r="C6" s="2" t="s">
        <v>5</v>
      </c>
      <c r="D6" s="2">
        <v>59000</v>
      </c>
      <c r="E6" s="2" t="s">
        <v>6</v>
      </c>
      <c r="F6" t="str">
        <f t="shared" si="0"/>
        <v>OK</v>
      </c>
      <c r="G6">
        <f>(Table1[Income]-$D$50)/($D$49-$D$50)</f>
        <v>0.30769230769230771</v>
      </c>
      <c r="H6" s="2">
        <v>60</v>
      </c>
      <c r="I6" s="2">
        <v>69</v>
      </c>
      <c r="J6" s="2" t="s">
        <v>24</v>
      </c>
      <c r="K6" s="2">
        <f>COUNTIFS($B$2:$B$47,"&gt;="&amp;Table1[[#This Row],[Lower]],$B$2:$B$47,"&lt;="&amp;Table1[[#This Row],[Upper]])</f>
        <v>1</v>
      </c>
      <c r="L6" s="2">
        <f>K6/$K$7</f>
        <v>2.1739130434782608E-2</v>
      </c>
      <c r="M6" s="8">
        <f>K6/$K$7</f>
        <v>2.1739130434782608E-2</v>
      </c>
      <c r="N6">
        <f>COUNTIFS(Table1[Gender], "Female", Table1[Purchased], "Yes")</f>
        <v>16</v>
      </c>
      <c r="O6" s="2"/>
      <c r="P6" s="2">
        <v>90000</v>
      </c>
    </row>
    <row r="7" spans="1:18" x14ac:dyDescent="0.3">
      <c r="A7" s="2">
        <v>6</v>
      </c>
      <c r="B7" s="2">
        <v>52</v>
      </c>
      <c r="C7" s="2" t="s">
        <v>7</v>
      </c>
      <c r="D7" s="2">
        <v>80000</v>
      </c>
      <c r="E7" s="2" t="s">
        <v>6</v>
      </c>
      <c r="F7" t="str">
        <f t="shared" si="0"/>
        <v>OK</v>
      </c>
      <c r="G7">
        <f>(Table1[Income]-$D$50)/($D$49-$D$50)</f>
        <v>0.71153846153846156</v>
      </c>
      <c r="H7" s="2"/>
      <c r="I7" s="2"/>
      <c r="J7" s="2"/>
      <c r="K7" s="3">
        <f>SUM(K2:K6)</f>
        <v>46</v>
      </c>
      <c r="L7" s="3">
        <f>SUM(L2:L6)</f>
        <v>1</v>
      </c>
      <c r="M7" s="3"/>
      <c r="N7">
        <f>COUNTIFS(Table1[Gender], "Female", Table1[Purchased], "No")</f>
        <v>7</v>
      </c>
      <c r="O7" s="2"/>
      <c r="P7" s="2">
        <v>100000</v>
      </c>
    </row>
    <row r="8" spans="1:18" x14ac:dyDescent="0.3">
      <c r="A8" s="2">
        <v>7</v>
      </c>
      <c r="B8" s="3">
        <f>MEDIAN(B2:B7,B9:B47)</f>
        <v>38</v>
      </c>
      <c r="C8" s="2" t="s">
        <v>5</v>
      </c>
      <c r="D8" s="2">
        <v>95000</v>
      </c>
      <c r="E8" s="2" t="s">
        <v>8</v>
      </c>
      <c r="F8" t="str">
        <f t="shared" si="0"/>
        <v>OK</v>
      </c>
      <c r="G8">
        <f>(Table1[Income]-$D$50)/($D$49-$D$50)</f>
        <v>1</v>
      </c>
      <c r="H8" s="2"/>
      <c r="I8" s="2"/>
      <c r="J8" s="2"/>
      <c r="K8" s="2"/>
      <c r="L8" s="2"/>
      <c r="M8" s="2"/>
      <c r="O8" s="2"/>
      <c r="P8" s="2"/>
    </row>
    <row r="9" spans="1:18" x14ac:dyDescent="0.3">
      <c r="A9" s="2">
        <v>8</v>
      </c>
      <c r="B9" s="2">
        <v>27</v>
      </c>
      <c r="C9" s="2" t="s">
        <v>7</v>
      </c>
      <c r="D9" s="2">
        <v>46000</v>
      </c>
      <c r="E9" s="2" t="s">
        <v>6</v>
      </c>
      <c r="F9" t="str">
        <f t="shared" si="0"/>
        <v>OK</v>
      </c>
      <c r="G9">
        <f>(Table1[Income]-$D$50)/($D$49-$D$50)</f>
        <v>5.7692307692307696E-2</v>
      </c>
      <c r="H9" s="2"/>
      <c r="I9" s="2"/>
      <c r="J9" s="2"/>
      <c r="K9" s="2"/>
      <c r="L9" s="2"/>
      <c r="M9" s="2"/>
      <c r="N9" s="4">
        <f>SUM(N3:N4,N6:N7)</f>
        <v>46</v>
      </c>
      <c r="O9" s="2"/>
      <c r="P9" s="2"/>
    </row>
    <row r="10" spans="1:18" x14ac:dyDescent="0.3">
      <c r="A10" s="2">
        <v>9</v>
      </c>
      <c r="B10" s="2">
        <v>38</v>
      </c>
      <c r="C10" s="2" t="s">
        <v>5</v>
      </c>
      <c r="D10" s="2">
        <v>71000</v>
      </c>
      <c r="E10" s="3" t="s">
        <v>6</v>
      </c>
      <c r="F10" t="str">
        <f t="shared" si="0"/>
        <v>OK</v>
      </c>
      <c r="G10">
        <f>(Table1[Income]-$D$50)/($D$49-$D$50)</f>
        <v>0.53846153846153844</v>
      </c>
      <c r="H10" s="2"/>
      <c r="I10" s="2"/>
      <c r="J10" s="2"/>
      <c r="K10" s="2"/>
      <c r="L10" s="2"/>
      <c r="M10" s="2"/>
      <c r="O10" s="2"/>
      <c r="P10" s="2"/>
    </row>
    <row r="11" spans="1:18" x14ac:dyDescent="0.3">
      <c r="A11" s="2">
        <v>10</v>
      </c>
      <c r="B11" s="2">
        <v>48</v>
      </c>
      <c r="C11" s="2" t="s">
        <v>7</v>
      </c>
      <c r="D11" s="2">
        <v>65000</v>
      </c>
      <c r="E11" s="2" t="s">
        <v>6</v>
      </c>
      <c r="F11" t="str">
        <f t="shared" si="0"/>
        <v>OK</v>
      </c>
      <c r="G11">
        <f>(Table1[Income]-$D$50)/($D$49-$D$50)</f>
        <v>0.42307692307692307</v>
      </c>
      <c r="H11" s="2"/>
      <c r="I11" s="2"/>
      <c r="J11" s="2"/>
      <c r="K11" s="2"/>
      <c r="L11" s="2"/>
      <c r="M11" s="2"/>
      <c r="O11" s="2"/>
      <c r="P11" s="2"/>
    </row>
    <row r="12" spans="1:18" x14ac:dyDescent="0.3">
      <c r="A12" s="2">
        <v>11</v>
      </c>
      <c r="B12" s="2">
        <v>30</v>
      </c>
      <c r="C12" s="2" t="s">
        <v>5</v>
      </c>
      <c r="D12" s="2">
        <v>52000</v>
      </c>
      <c r="E12" s="2" t="s">
        <v>6</v>
      </c>
      <c r="F12" t="str">
        <f t="shared" si="0"/>
        <v>OK</v>
      </c>
      <c r="G12">
        <f>(Table1[Income]-$D$50)/($D$49-$D$50)</f>
        <v>0.17307692307692307</v>
      </c>
      <c r="H12" s="2"/>
      <c r="I12" s="2"/>
      <c r="J12" s="2"/>
      <c r="K12" s="2"/>
      <c r="L12" s="2"/>
      <c r="M12" s="2"/>
      <c r="O12" s="2"/>
      <c r="P12" s="2"/>
    </row>
    <row r="13" spans="1:18" x14ac:dyDescent="0.3">
      <c r="A13" s="2">
        <v>12</v>
      </c>
      <c r="B13" s="2">
        <v>41</v>
      </c>
      <c r="C13" s="2" t="s">
        <v>7</v>
      </c>
      <c r="D13" s="2">
        <v>57000</v>
      </c>
      <c r="E13" s="2" t="s">
        <v>8</v>
      </c>
      <c r="F13" t="str">
        <f t="shared" si="0"/>
        <v>OK</v>
      </c>
      <c r="G13">
        <f>(Table1[Income]-$D$50)/($D$49-$D$50)</f>
        <v>0.26923076923076922</v>
      </c>
      <c r="H13" s="2"/>
      <c r="I13" s="2"/>
      <c r="J13" s="2"/>
      <c r="K13" s="2"/>
      <c r="L13" s="2"/>
      <c r="M13" s="2"/>
      <c r="O13" s="2"/>
      <c r="P13" s="2"/>
    </row>
    <row r="14" spans="1:18" x14ac:dyDescent="0.3">
      <c r="A14" s="2">
        <v>13</v>
      </c>
      <c r="B14" s="2">
        <v>27</v>
      </c>
      <c r="C14" s="2" t="s">
        <v>5</v>
      </c>
      <c r="D14" s="2">
        <v>48000</v>
      </c>
      <c r="E14" s="2" t="s">
        <v>6</v>
      </c>
      <c r="F14" t="str">
        <f t="shared" si="0"/>
        <v>OK</v>
      </c>
      <c r="G14">
        <f>(Table1[Income]-$D$50)/($D$49-$D$50)</f>
        <v>9.6153846153846159E-2</v>
      </c>
      <c r="H14" s="2"/>
      <c r="I14" s="2"/>
      <c r="J14" s="2"/>
      <c r="K14" s="2"/>
      <c r="L14" s="2"/>
      <c r="M14" s="2"/>
      <c r="O14" s="2"/>
      <c r="P14" s="2"/>
    </row>
    <row r="15" spans="1:18" x14ac:dyDescent="0.3">
      <c r="A15" s="2">
        <v>14</v>
      </c>
      <c r="B15" s="2">
        <v>33</v>
      </c>
      <c r="C15" s="2" t="s">
        <v>7</v>
      </c>
      <c r="D15" s="3">
        <f>MEDIAN(D2:D3,D5:D14,D16,D18:D47)</f>
        <v>59000</v>
      </c>
      <c r="E15" s="2" t="s">
        <v>8</v>
      </c>
      <c r="F15" t="str">
        <f t="shared" si="0"/>
        <v>OK</v>
      </c>
      <c r="G15">
        <f>(Table1[Income]-$D$50)/($D$49-$D$50)</f>
        <v>0.30769230769230771</v>
      </c>
      <c r="H15" s="2"/>
      <c r="I15" s="2"/>
      <c r="J15" s="2"/>
      <c r="K15" s="2"/>
      <c r="L15" s="2"/>
      <c r="M15" s="2"/>
      <c r="O15" s="2"/>
      <c r="P15" s="2"/>
    </row>
    <row r="16" spans="1:18" x14ac:dyDescent="0.3">
      <c r="A16" s="2">
        <v>15</v>
      </c>
      <c r="B16" s="2">
        <v>55</v>
      </c>
      <c r="C16" s="2" t="s">
        <v>5</v>
      </c>
      <c r="D16" s="2">
        <v>75000</v>
      </c>
      <c r="E16" s="2" t="s">
        <v>6</v>
      </c>
      <c r="F16" t="str">
        <f t="shared" si="0"/>
        <v>OK</v>
      </c>
      <c r="G16">
        <f>(Table1[Income]-$D$50)/($D$49-$D$50)</f>
        <v>0.61538461538461542</v>
      </c>
      <c r="H16" s="2"/>
      <c r="I16" s="2"/>
      <c r="J16" s="2"/>
      <c r="K16" s="2"/>
      <c r="L16" s="2"/>
      <c r="M16" s="2"/>
      <c r="O16" s="2"/>
      <c r="P16" s="2"/>
    </row>
    <row r="17" spans="1:16" x14ac:dyDescent="0.3">
      <c r="A17" s="2">
        <v>16</v>
      </c>
      <c r="B17" s="2">
        <v>46</v>
      </c>
      <c r="C17" s="2" t="s">
        <v>7</v>
      </c>
      <c r="D17" s="3">
        <f>MEDIAN(D2:D3,D5:D14,D16,D18:D47)</f>
        <v>59000</v>
      </c>
      <c r="E17" s="2" t="s">
        <v>6</v>
      </c>
      <c r="F17" t="str">
        <f t="shared" si="0"/>
        <v>OK</v>
      </c>
      <c r="G17">
        <f>(Table1[Income]-$D$50)/($D$49-$D$50)</f>
        <v>0.30769230769230771</v>
      </c>
      <c r="H17" s="2"/>
      <c r="I17" s="2"/>
      <c r="J17" s="2"/>
      <c r="K17" s="2"/>
      <c r="L17" s="2"/>
      <c r="M17" s="2"/>
      <c r="O17" s="2"/>
      <c r="P17" s="2"/>
    </row>
    <row r="18" spans="1:16" x14ac:dyDescent="0.3">
      <c r="A18" s="2">
        <v>17</v>
      </c>
      <c r="B18" s="2">
        <v>62</v>
      </c>
      <c r="C18" s="2" t="s">
        <v>5</v>
      </c>
      <c r="D18" s="2">
        <v>90000</v>
      </c>
      <c r="E18" s="2" t="s">
        <v>8</v>
      </c>
      <c r="F18" t="str">
        <f t="shared" si="0"/>
        <v>OK</v>
      </c>
      <c r="G18">
        <f>(Table1[Income]-$D$50)/($D$49-$D$50)</f>
        <v>0.90384615384615385</v>
      </c>
      <c r="H18" s="2"/>
      <c r="I18" s="2"/>
      <c r="J18" s="2"/>
      <c r="K18" s="2"/>
      <c r="L18" s="2"/>
      <c r="M18" s="2"/>
      <c r="O18" s="2"/>
      <c r="P18" s="2"/>
    </row>
    <row r="19" spans="1:16" x14ac:dyDescent="0.3">
      <c r="A19" s="2">
        <v>18</v>
      </c>
      <c r="B19" s="2">
        <v>29</v>
      </c>
      <c r="C19" s="2" t="s">
        <v>7</v>
      </c>
      <c r="D19" s="2">
        <v>47000</v>
      </c>
      <c r="E19" s="2" t="s">
        <v>6</v>
      </c>
      <c r="F19" t="str">
        <f t="shared" si="0"/>
        <v>OK</v>
      </c>
      <c r="G19">
        <f>(Table1[Income]-$D$50)/($D$49-$D$50)</f>
        <v>7.6923076923076927E-2</v>
      </c>
      <c r="H19" s="2"/>
      <c r="I19" s="2"/>
      <c r="J19" s="2"/>
      <c r="K19" s="2"/>
      <c r="L19" s="2"/>
      <c r="M19" s="2"/>
      <c r="O19" s="2"/>
      <c r="P19" s="2"/>
    </row>
    <row r="20" spans="1:16" x14ac:dyDescent="0.3">
      <c r="A20" s="2">
        <v>19</v>
      </c>
      <c r="B20" s="2">
        <v>39</v>
      </c>
      <c r="C20" s="2" t="s">
        <v>5</v>
      </c>
      <c r="D20" s="2">
        <v>67000</v>
      </c>
      <c r="E20" s="2" t="s">
        <v>8</v>
      </c>
      <c r="F20" t="str">
        <f t="shared" si="0"/>
        <v>OK</v>
      </c>
      <c r="G20">
        <f>(Table1[Income]-$D$50)/($D$49-$D$50)</f>
        <v>0.46153846153846156</v>
      </c>
      <c r="H20" s="2"/>
      <c r="I20" s="2"/>
      <c r="J20" s="2"/>
      <c r="K20" s="2"/>
      <c r="L20" s="2"/>
      <c r="M20" s="2"/>
      <c r="O20" s="2"/>
      <c r="P20" s="2"/>
    </row>
    <row r="21" spans="1:16" x14ac:dyDescent="0.3">
      <c r="A21" s="2">
        <v>20</v>
      </c>
      <c r="B21" s="2">
        <v>50</v>
      </c>
      <c r="C21" s="2" t="s">
        <v>7</v>
      </c>
      <c r="D21" s="2">
        <v>82000</v>
      </c>
      <c r="E21" s="2" t="s">
        <v>6</v>
      </c>
      <c r="F21" t="str">
        <f t="shared" si="0"/>
        <v>OK</v>
      </c>
      <c r="G21">
        <f>(Table1[Income]-$D$50)/($D$49-$D$50)</f>
        <v>0.75</v>
      </c>
      <c r="H21" s="2"/>
      <c r="I21" s="2"/>
      <c r="J21" s="2"/>
      <c r="K21" s="2"/>
      <c r="L21" s="2"/>
      <c r="M21" s="2"/>
      <c r="O21" s="2"/>
      <c r="P21" s="2"/>
    </row>
    <row r="22" spans="1:16" x14ac:dyDescent="0.3">
      <c r="A22" s="2">
        <v>21</v>
      </c>
      <c r="B22" s="2">
        <v>24</v>
      </c>
      <c r="C22" s="2" t="s">
        <v>5</v>
      </c>
      <c r="D22" s="2">
        <v>44000</v>
      </c>
      <c r="E22" s="2" t="s">
        <v>6</v>
      </c>
      <c r="F22" t="str">
        <f t="shared" si="0"/>
        <v>OK</v>
      </c>
      <c r="G22">
        <f>(Table1[Income]-$D$50)/($D$49-$D$50)</f>
        <v>1.9230769230769232E-2</v>
      </c>
      <c r="H22" s="2"/>
      <c r="I22" s="2"/>
      <c r="J22" s="2"/>
      <c r="K22" s="2"/>
      <c r="L22" s="2"/>
      <c r="M22" s="2"/>
      <c r="O22" s="2"/>
      <c r="P22" s="2"/>
    </row>
    <row r="23" spans="1:16" x14ac:dyDescent="0.3">
      <c r="A23" s="2">
        <v>22</v>
      </c>
      <c r="B23" s="2">
        <v>28</v>
      </c>
      <c r="C23" s="2" t="s">
        <v>7</v>
      </c>
      <c r="D23" s="2">
        <v>46000</v>
      </c>
      <c r="E23" s="3" t="s">
        <v>6</v>
      </c>
      <c r="F23" t="str">
        <f t="shared" si="0"/>
        <v>OK</v>
      </c>
      <c r="G23">
        <f>(Table1[Income]-$D$50)/($D$49-$D$50)</f>
        <v>5.7692307692307696E-2</v>
      </c>
      <c r="H23" s="2"/>
      <c r="I23" s="2"/>
      <c r="J23" s="2"/>
      <c r="K23" s="2"/>
      <c r="L23" s="2"/>
      <c r="M23" s="2"/>
      <c r="O23" s="2"/>
      <c r="P23" s="2"/>
    </row>
    <row r="24" spans="1:16" x14ac:dyDescent="0.3">
      <c r="A24" s="2">
        <v>23</v>
      </c>
      <c r="B24" s="2">
        <v>37</v>
      </c>
      <c r="C24" s="2" t="s">
        <v>5</v>
      </c>
      <c r="D24" s="2">
        <v>60000</v>
      </c>
      <c r="E24" s="2" t="s">
        <v>6</v>
      </c>
      <c r="F24" t="str">
        <f t="shared" si="0"/>
        <v>OK</v>
      </c>
      <c r="G24">
        <f>(Table1[Income]-$D$50)/($D$49-$D$50)</f>
        <v>0.32692307692307693</v>
      </c>
      <c r="H24" s="2"/>
      <c r="I24" s="2"/>
      <c r="J24" s="2"/>
      <c r="K24" s="2"/>
      <c r="L24" s="2"/>
      <c r="M24" s="2"/>
      <c r="O24" s="2"/>
      <c r="P24" s="2"/>
    </row>
    <row r="25" spans="1:16" x14ac:dyDescent="0.3">
      <c r="A25" s="2">
        <v>24</v>
      </c>
      <c r="B25" s="2">
        <v>41</v>
      </c>
      <c r="C25" s="2" t="s">
        <v>7</v>
      </c>
      <c r="D25" s="2">
        <v>68000</v>
      </c>
      <c r="E25" s="2" t="s">
        <v>8</v>
      </c>
      <c r="F25" t="str">
        <f t="shared" si="0"/>
        <v>OK</v>
      </c>
      <c r="G25">
        <f>(Table1[Income]-$D$50)/($D$49-$D$50)</f>
        <v>0.48076923076923078</v>
      </c>
      <c r="H25" s="2"/>
      <c r="I25" s="2"/>
      <c r="J25" s="2"/>
      <c r="K25" s="2"/>
      <c r="L25" s="2"/>
      <c r="M25" s="2"/>
      <c r="O25" s="2"/>
      <c r="P25" s="2"/>
    </row>
    <row r="26" spans="1:16" x14ac:dyDescent="0.3">
      <c r="A26" s="2">
        <v>25</v>
      </c>
      <c r="B26" s="2">
        <v>31</v>
      </c>
      <c r="C26" s="2" t="s">
        <v>5</v>
      </c>
      <c r="D26" s="2">
        <v>55000</v>
      </c>
      <c r="E26" s="2" t="s">
        <v>6</v>
      </c>
      <c r="F26" t="str">
        <f t="shared" si="0"/>
        <v>OK</v>
      </c>
      <c r="G26">
        <f>(Table1[Income]-$D$50)/($D$49-$D$50)</f>
        <v>0.23076923076923078</v>
      </c>
      <c r="H26" s="2"/>
      <c r="I26" s="2"/>
      <c r="J26" s="2"/>
      <c r="K26" s="2"/>
      <c r="L26" s="2"/>
      <c r="M26" s="2"/>
      <c r="O26" s="2"/>
      <c r="P26" s="2"/>
    </row>
    <row r="27" spans="1:16" x14ac:dyDescent="0.3">
      <c r="A27" s="2">
        <v>26</v>
      </c>
      <c r="B27" s="2">
        <v>53</v>
      </c>
      <c r="C27" s="2" t="s">
        <v>7</v>
      </c>
      <c r="D27" s="2">
        <v>79000</v>
      </c>
      <c r="E27" s="2" t="s">
        <v>6</v>
      </c>
      <c r="F27" t="str">
        <f t="shared" si="0"/>
        <v>OK</v>
      </c>
      <c r="G27">
        <f>(Table1[Income]-$D$50)/($D$49-$D$50)</f>
        <v>0.69230769230769229</v>
      </c>
      <c r="H27" s="2"/>
      <c r="I27" s="2"/>
      <c r="J27" s="2"/>
      <c r="K27" s="2"/>
      <c r="L27" s="2"/>
      <c r="M27" s="2"/>
      <c r="O27" s="2"/>
      <c r="P27" s="2"/>
    </row>
    <row r="28" spans="1:16" x14ac:dyDescent="0.3">
      <c r="A28" s="2">
        <v>27</v>
      </c>
      <c r="B28" s="2">
        <v>59</v>
      </c>
      <c r="C28" s="2" t="s">
        <v>5</v>
      </c>
      <c r="D28" s="2">
        <v>94000</v>
      </c>
      <c r="E28" s="2" t="s">
        <v>8</v>
      </c>
      <c r="F28" t="str">
        <f t="shared" si="0"/>
        <v>OK</v>
      </c>
      <c r="G28">
        <f>(Table1[Income]-$D$50)/($D$49-$D$50)</f>
        <v>0.98076923076923073</v>
      </c>
      <c r="H28" s="2"/>
      <c r="I28" s="2"/>
      <c r="J28" s="2"/>
      <c r="K28" s="2"/>
      <c r="L28" s="2"/>
      <c r="M28" s="2"/>
      <c r="O28" s="2"/>
      <c r="P28" s="2"/>
    </row>
    <row r="29" spans="1:16" x14ac:dyDescent="0.3">
      <c r="A29" s="2">
        <v>28</v>
      </c>
      <c r="B29" s="2">
        <v>26</v>
      </c>
      <c r="C29" s="2" t="s">
        <v>7</v>
      </c>
      <c r="D29" s="2">
        <v>49000</v>
      </c>
      <c r="E29" s="2" t="s">
        <v>6</v>
      </c>
      <c r="F29" t="str">
        <f t="shared" si="0"/>
        <v>OK</v>
      </c>
      <c r="G29">
        <f>(Table1[Income]-$D$50)/($D$49-$D$50)</f>
        <v>0.11538461538461539</v>
      </c>
      <c r="H29" s="2"/>
      <c r="I29" s="2"/>
      <c r="J29" s="2"/>
      <c r="K29" s="2"/>
      <c r="L29" s="2"/>
      <c r="M29" s="2"/>
      <c r="O29" s="2"/>
      <c r="P29" s="2"/>
    </row>
    <row r="30" spans="1:16" x14ac:dyDescent="0.3">
      <c r="A30" s="2">
        <v>29</v>
      </c>
      <c r="B30" s="2">
        <v>34</v>
      </c>
      <c r="C30" s="2" t="s">
        <v>5</v>
      </c>
      <c r="D30" s="2">
        <v>53000</v>
      </c>
      <c r="E30" s="2" t="s">
        <v>8</v>
      </c>
      <c r="F30" t="str">
        <f t="shared" si="0"/>
        <v>OK</v>
      </c>
      <c r="G30">
        <f>(Table1[Income]-$D$50)/($D$49-$D$50)</f>
        <v>0.19230769230769232</v>
      </c>
      <c r="H30" s="2"/>
      <c r="I30" s="2"/>
      <c r="J30" s="2"/>
      <c r="K30" s="2"/>
      <c r="L30" s="2"/>
      <c r="M30" s="2"/>
      <c r="O30" s="2"/>
      <c r="P30" s="2"/>
    </row>
    <row r="31" spans="1:16" x14ac:dyDescent="0.3">
      <c r="A31" s="2">
        <v>30</v>
      </c>
      <c r="B31" s="2">
        <v>49</v>
      </c>
      <c r="C31" s="2" t="s">
        <v>7</v>
      </c>
      <c r="D31" s="2">
        <v>68000</v>
      </c>
      <c r="E31" s="2" t="s">
        <v>6</v>
      </c>
      <c r="F31" t="str">
        <f t="shared" si="0"/>
        <v>OK</v>
      </c>
      <c r="G31">
        <f>(Table1[Income]-$D$50)/($D$49-$D$50)</f>
        <v>0.48076923076923078</v>
      </c>
      <c r="H31" s="2"/>
      <c r="I31" s="2"/>
      <c r="J31" s="2"/>
      <c r="K31" s="2"/>
      <c r="L31" s="2"/>
      <c r="M31" s="2"/>
      <c r="O31" s="2"/>
      <c r="P31" s="2"/>
    </row>
    <row r="32" spans="1:16" x14ac:dyDescent="0.3">
      <c r="A32" s="2">
        <v>31</v>
      </c>
      <c r="B32" s="2">
        <v>22</v>
      </c>
      <c r="C32" s="2" t="s">
        <v>5</v>
      </c>
      <c r="D32" s="2">
        <v>46000</v>
      </c>
      <c r="E32" s="2" t="s">
        <v>6</v>
      </c>
      <c r="F32" t="str">
        <f t="shared" si="0"/>
        <v>OK</v>
      </c>
      <c r="G32">
        <f>(Table1[Income]-$D$50)/($D$49-$D$50)</f>
        <v>5.7692307692307696E-2</v>
      </c>
      <c r="H32" s="2"/>
      <c r="I32" s="2"/>
      <c r="J32" s="2"/>
      <c r="K32" s="2"/>
      <c r="L32" s="2"/>
      <c r="M32" s="2"/>
      <c r="O32" s="2"/>
      <c r="P32" s="2"/>
    </row>
    <row r="33" spans="1:16" x14ac:dyDescent="0.3">
      <c r="A33" s="2">
        <v>32</v>
      </c>
      <c r="B33" s="2">
        <v>40</v>
      </c>
      <c r="C33" s="2" t="s">
        <v>7</v>
      </c>
      <c r="D33" s="2">
        <v>55000</v>
      </c>
      <c r="E33" s="2" t="s">
        <v>8</v>
      </c>
      <c r="F33" t="str">
        <f t="shared" si="0"/>
        <v>OK</v>
      </c>
      <c r="G33">
        <f>(Table1[Income]-$D$50)/($D$49-$D$50)</f>
        <v>0.23076923076923078</v>
      </c>
      <c r="H33" s="2"/>
      <c r="I33" s="2"/>
      <c r="J33" s="2"/>
      <c r="K33" s="2"/>
      <c r="L33" s="2"/>
      <c r="M33" s="2"/>
      <c r="O33" s="2"/>
      <c r="P33" s="2"/>
    </row>
    <row r="34" spans="1:16" x14ac:dyDescent="0.3">
      <c r="A34" s="2">
        <v>33</v>
      </c>
      <c r="B34" s="2">
        <v>47</v>
      </c>
      <c r="C34" s="2" t="s">
        <v>5</v>
      </c>
      <c r="D34" s="2">
        <v>71000</v>
      </c>
      <c r="E34" s="2" t="s">
        <v>6</v>
      </c>
      <c r="F34" t="str">
        <f t="shared" si="0"/>
        <v>OK</v>
      </c>
      <c r="G34">
        <f>(Table1[Income]-$D$50)/($D$49-$D$50)</f>
        <v>0.53846153846153844</v>
      </c>
      <c r="H34" s="2"/>
      <c r="I34" s="2"/>
      <c r="J34" s="2"/>
      <c r="K34" s="2"/>
      <c r="L34" s="2"/>
      <c r="M34" s="2"/>
      <c r="O34" s="2"/>
      <c r="P34" s="2"/>
    </row>
    <row r="35" spans="1:16" x14ac:dyDescent="0.3">
      <c r="A35" s="2">
        <v>34</v>
      </c>
      <c r="B35" s="2">
        <v>29</v>
      </c>
      <c r="C35" s="2" t="s">
        <v>7</v>
      </c>
      <c r="D35" s="2">
        <v>49000</v>
      </c>
      <c r="E35" s="2" t="s">
        <v>8</v>
      </c>
      <c r="F35" t="str">
        <f t="shared" si="0"/>
        <v>OK</v>
      </c>
      <c r="G35">
        <f>(Table1[Income]-$D$50)/($D$49-$D$50)</f>
        <v>0.11538461538461539</v>
      </c>
      <c r="H35" s="2"/>
      <c r="I35" s="2"/>
      <c r="J35" s="2"/>
      <c r="K35" s="2"/>
      <c r="L35" s="2"/>
      <c r="M35" s="2"/>
      <c r="O35" s="2"/>
      <c r="P35" s="2"/>
    </row>
    <row r="36" spans="1:16" x14ac:dyDescent="0.3">
      <c r="A36" s="2">
        <v>35</v>
      </c>
      <c r="B36" s="2">
        <v>56</v>
      </c>
      <c r="C36" s="2" t="s">
        <v>5</v>
      </c>
      <c r="D36" s="2">
        <v>77000</v>
      </c>
      <c r="E36" s="2" t="s">
        <v>6</v>
      </c>
      <c r="F36" t="str">
        <f t="shared" si="0"/>
        <v>OK</v>
      </c>
      <c r="G36">
        <f>(Table1[Income]-$D$50)/($D$49-$D$50)</f>
        <v>0.65384615384615385</v>
      </c>
      <c r="H36" s="2"/>
      <c r="I36" s="2"/>
      <c r="J36" s="2"/>
      <c r="K36" s="2"/>
      <c r="L36" s="2"/>
      <c r="M36" s="2"/>
      <c r="O36" s="2"/>
      <c r="P36" s="2"/>
    </row>
    <row r="37" spans="1:16" x14ac:dyDescent="0.3">
      <c r="A37" s="2">
        <v>36</v>
      </c>
      <c r="B37" s="2">
        <v>42</v>
      </c>
      <c r="C37" s="2" t="s">
        <v>7</v>
      </c>
      <c r="D37" s="2">
        <v>65000</v>
      </c>
      <c r="E37" s="2" t="s">
        <v>6</v>
      </c>
      <c r="F37" t="str">
        <f t="shared" si="0"/>
        <v>OK</v>
      </c>
      <c r="G37">
        <f>(Table1[Income]-$D$50)/($D$49-$D$50)</f>
        <v>0.42307692307692307</v>
      </c>
      <c r="H37" s="2"/>
      <c r="I37" s="2"/>
      <c r="J37" s="2"/>
      <c r="K37" s="2"/>
      <c r="L37" s="2"/>
      <c r="M37" s="2"/>
      <c r="O37" s="2"/>
      <c r="P37" s="2"/>
    </row>
    <row r="38" spans="1:16" x14ac:dyDescent="0.3">
      <c r="A38" s="2">
        <v>37</v>
      </c>
      <c r="B38" s="2">
        <v>31</v>
      </c>
      <c r="C38" s="2" t="s">
        <v>5</v>
      </c>
      <c r="D38" s="2">
        <v>52000</v>
      </c>
      <c r="E38" s="2" t="s">
        <v>8</v>
      </c>
      <c r="F38" t="str">
        <f t="shared" si="0"/>
        <v>OK</v>
      </c>
      <c r="G38">
        <f>(Table1[Income]-$D$50)/($D$49-$D$50)</f>
        <v>0.17307692307692307</v>
      </c>
      <c r="H38" s="2"/>
      <c r="I38" s="2"/>
      <c r="J38" s="2"/>
      <c r="K38" s="2"/>
      <c r="L38" s="2"/>
      <c r="M38" s="2"/>
      <c r="O38" s="2"/>
      <c r="P38" s="2"/>
    </row>
    <row r="39" spans="1:16" x14ac:dyDescent="0.3">
      <c r="A39" s="2">
        <v>38</v>
      </c>
      <c r="B39" s="2">
        <v>33</v>
      </c>
      <c r="C39" s="2" t="s">
        <v>7</v>
      </c>
      <c r="D39" s="2">
        <v>58000</v>
      </c>
      <c r="E39" s="2" t="s">
        <v>6</v>
      </c>
      <c r="F39" t="str">
        <f t="shared" si="0"/>
        <v>OK</v>
      </c>
      <c r="G39">
        <f>(Table1[Income]-$D$50)/($D$49-$D$50)</f>
        <v>0.28846153846153844</v>
      </c>
      <c r="H39" s="2"/>
      <c r="I39" s="2"/>
      <c r="J39" s="2"/>
      <c r="K39" s="2"/>
      <c r="L39" s="2"/>
      <c r="M39" s="2"/>
      <c r="O39" s="2"/>
      <c r="P39" s="2"/>
    </row>
    <row r="40" spans="1:16" x14ac:dyDescent="0.3">
      <c r="A40" s="2">
        <v>39</v>
      </c>
      <c r="B40" s="2">
        <v>45</v>
      </c>
      <c r="C40" s="2" t="s">
        <v>5</v>
      </c>
      <c r="D40" s="2">
        <v>68000</v>
      </c>
      <c r="E40" s="2" t="s">
        <v>8</v>
      </c>
      <c r="F40" t="str">
        <f t="shared" si="0"/>
        <v>OK</v>
      </c>
      <c r="G40">
        <f>(Table1[Income]-$D$50)/($D$49-$D$50)</f>
        <v>0.48076923076923078</v>
      </c>
      <c r="H40" s="2"/>
      <c r="I40" s="2"/>
      <c r="J40" s="2"/>
      <c r="K40" s="2"/>
      <c r="L40" s="2"/>
      <c r="M40" s="2"/>
      <c r="O40" s="2"/>
      <c r="P40" s="2"/>
    </row>
    <row r="41" spans="1:16" x14ac:dyDescent="0.3">
      <c r="A41" s="2">
        <v>40</v>
      </c>
      <c r="B41" s="2">
        <v>51</v>
      </c>
      <c r="C41" s="2" t="s">
        <v>7</v>
      </c>
      <c r="D41" s="2">
        <v>80000</v>
      </c>
      <c r="E41" s="2" t="s">
        <v>6</v>
      </c>
      <c r="F41" t="str">
        <f t="shared" si="0"/>
        <v>OK</v>
      </c>
      <c r="G41">
        <f>(Table1[Income]-$D$50)/($D$49-$D$50)</f>
        <v>0.71153846153846156</v>
      </c>
      <c r="H41" s="2"/>
      <c r="I41" s="2"/>
      <c r="J41" s="2"/>
      <c r="K41" s="2"/>
      <c r="L41" s="2"/>
      <c r="M41" s="2"/>
      <c r="O41" s="2"/>
      <c r="P41" s="2"/>
    </row>
    <row r="42" spans="1:16" x14ac:dyDescent="0.3">
      <c r="A42" s="2">
        <v>41</v>
      </c>
      <c r="B42" s="2">
        <v>26</v>
      </c>
      <c r="C42" s="2" t="s">
        <v>5</v>
      </c>
      <c r="D42" s="2">
        <v>45000</v>
      </c>
      <c r="E42" s="2" t="s">
        <v>6</v>
      </c>
      <c r="F42" t="str">
        <f t="shared" si="0"/>
        <v>OK</v>
      </c>
      <c r="G42">
        <f>(Table1[Income]-$D$50)/($D$49-$D$50)</f>
        <v>3.8461538461538464E-2</v>
      </c>
      <c r="H42" s="2"/>
      <c r="I42" s="2"/>
      <c r="J42" s="2"/>
      <c r="K42" s="2"/>
      <c r="L42" s="2"/>
      <c r="M42" s="2"/>
      <c r="O42" s="2"/>
      <c r="P42" s="2"/>
    </row>
    <row r="43" spans="1:16" x14ac:dyDescent="0.3">
      <c r="A43" s="2">
        <v>42</v>
      </c>
      <c r="B43" s="2">
        <v>39</v>
      </c>
      <c r="C43" s="2" t="s">
        <v>7</v>
      </c>
      <c r="D43" s="2">
        <v>55000</v>
      </c>
      <c r="E43" s="2" t="s">
        <v>8</v>
      </c>
      <c r="F43" t="str">
        <f t="shared" si="0"/>
        <v>OK</v>
      </c>
      <c r="G43">
        <f>(Table1[Income]-$D$50)/($D$49-$D$50)</f>
        <v>0.23076923076923078</v>
      </c>
      <c r="H43" s="2"/>
      <c r="I43" s="2"/>
      <c r="J43" s="2"/>
      <c r="K43" s="2"/>
      <c r="L43" s="2"/>
      <c r="M43" s="2"/>
      <c r="O43" s="2"/>
      <c r="P43" s="2"/>
    </row>
    <row r="44" spans="1:16" x14ac:dyDescent="0.3">
      <c r="A44" s="2">
        <v>43</v>
      </c>
      <c r="B44" s="2">
        <v>38</v>
      </c>
      <c r="C44" s="2" t="s">
        <v>5</v>
      </c>
      <c r="D44" s="2">
        <v>60000</v>
      </c>
      <c r="E44" s="2" t="s">
        <v>6</v>
      </c>
      <c r="F44" t="str">
        <f t="shared" si="0"/>
        <v>OK</v>
      </c>
      <c r="G44">
        <f>(Table1[Income]-$D$50)/($D$49-$D$50)</f>
        <v>0.32692307692307693</v>
      </c>
      <c r="H44" s="2"/>
      <c r="I44" s="2"/>
      <c r="J44" s="2"/>
      <c r="K44" s="2"/>
      <c r="L44" s="2"/>
      <c r="M44" s="2"/>
      <c r="O44" s="2"/>
      <c r="P44" s="2"/>
    </row>
    <row r="45" spans="1:16" x14ac:dyDescent="0.3">
      <c r="A45" s="2">
        <v>44</v>
      </c>
      <c r="B45" s="2">
        <v>52</v>
      </c>
      <c r="C45" s="2" t="s">
        <v>7</v>
      </c>
      <c r="D45" s="2">
        <v>72000</v>
      </c>
      <c r="E45" s="2" t="s">
        <v>6</v>
      </c>
      <c r="F45" t="str">
        <f t="shared" si="0"/>
        <v>OK</v>
      </c>
      <c r="G45">
        <f>(Table1[Income]-$D$50)/($D$49-$D$50)</f>
        <v>0.55769230769230771</v>
      </c>
      <c r="H45" s="2"/>
      <c r="I45" s="2"/>
      <c r="J45" s="2"/>
      <c r="K45" s="2"/>
      <c r="L45" s="2"/>
      <c r="M45" s="2"/>
      <c r="O45" s="2"/>
      <c r="P45" s="2"/>
    </row>
    <row r="46" spans="1:16" x14ac:dyDescent="0.3">
      <c r="A46" s="2">
        <v>45</v>
      </c>
      <c r="B46" s="2">
        <v>47</v>
      </c>
      <c r="C46" s="2" t="s">
        <v>5</v>
      </c>
      <c r="D46" s="2">
        <v>65000</v>
      </c>
      <c r="E46" s="2" t="s">
        <v>8</v>
      </c>
      <c r="F46" t="str">
        <f t="shared" si="0"/>
        <v>OK</v>
      </c>
      <c r="G46">
        <f>(Table1[Income]-$D$50)/($D$49-$D$50)</f>
        <v>0.42307692307692307</v>
      </c>
      <c r="H46" s="2"/>
      <c r="I46" s="2"/>
      <c r="J46" s="2"/>
      <c r="K46" s="2"/>
      <c r="L46" s="2"/>
      <c r="M46" s="2"/>
      <c r="O46" s="2"/>
      <c r="P46" s="2"/>
    </row>
    <row r="47" spans="1:16" x14ac:dyDescent="0.3">
      <c r="A47" s="2">
        <v>46</v>
      </c>
      <c r="B47" s="2">
        <v>25</v>
      </c>
      <c r="C47" s="2" t="s">
        <v>7</v>
      </c>
      <c r="D47" s="2">
        <v>48000</v>
      </c>
      <c r="E47" s="2" t="s">
        <v>6</v>
      </c>
      <c r="F47" t="str">
        <f t="shared" si="0"/>
        <v>OK</v>
      </c>
      <c r="G47">
        <f>(Table1[Income]-$D$50)/($D$49-$D$50)</f>
        <v>9.6153846153846159E-2</v>
      </c>
      <c r="H47" s="2"/>
      <c r="I47" s="2"/>
      <c r="J47" s="2"/>
      <c r="K47" s="2"/>
      <c r="L47" s="2"/>
      <c r="M47" s="2"/>
      <c r="O47" s="2"/>
      <c r="P47" s="2"/>
    </row>
    <row r="49" spans="2:5" x14ac:dyDescent="0.3">
      <c r="B49">
        <f>MAX(Table1[Age])</f>
        <v>62</v>
      </c>
      <c r="D49">
        <f>MAX(D2:D47)</f>
        <v>95000</v>
      </c>
      <c r="E49">
        <f>COUNTIF(E2:E47, "Yes")</f>
        <v>31</v>
      </c>
    </row>
    <row r="50" spans="2:5" x14ac:dyDescent="0.3">
      <c r="B50">
        <f>MIN(Table1[Age])</f>
        <v>22</v>
      </c>
      <c r="D50">
        <f>MIN(D2:D47)</f>
        <v>43000</v>
      </c>
      <c r="E50">
        <f>COUNTIF(E2:E47, "No")</f>
        <v>15</v>
      </c>
    </row>
  </sheetData>
  <phoneticPr fontId="3" type="noConversion"/>
  <pageMargins left="0.7" right="0.7" top="0.75" bottom="0.75" header="0.3" footer="0.3"/>
  <ignoredErrors>
    <ignoredError sqref="K7 L2:L7" calculatedColumn="1"/>
  </ignoredErrors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22C05-595B-4CFB-8DD2-BA392F900696}">
  <dimension ref="A1"/>
  <sheetViews>
    <sheetView topLeftCell="A4" workbookViewId="0">
      <selection activeCell="O13" sqref="O1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119F-FB36-42C1-A5E6-CA6B39322B53}">
  <dimension ref="A1"/>
  <sheetViews>
    <sheetView tabSelected="1" workbookViewId="0">
      <selection activeCell="Q8" sqref="Q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46756-3515-4DC8-BAB8-67C4EECDE32B}">
  <dimension ref="A1:B47"/>
  <sheetViews>
    <sheetView topLeftCell="A25" workbookViewId="0">
      <selection activeCell="E4" sqref="E4"/>
    </sheetView>
  </sheetViews>
  <sheetFormatPr defaultRowHeight="14.4" x14ac:dyDescent="0.3"/>
  <sheetData>
    <row r="1" spans="1:2" x14ac:dyDescent="0.3">
      <c r="A1" s="9" t="s">
        <v>1</v>
      </c>
      <c r="B1" s="9" t="s">
        <v>3</v>
      </c>
    </row>
    <row r="2" spans="1:2" x14ac:dyDescent="0.3">
      <c r="A2" s="10">
        <v>22</v>
      </c>
      <c r="B2" s="10">
        <v>46000</v>
      </c>
    </row>
    <row r="3" spans="1:2" x14ac:dyDescent="0.3">
      <c r="A3" s="10">
        <v>23</v>
      </c>
      <c r="B3" s="10">
        <v>45000</v>
      </c>
    </row>
    <row r="4" spans="1:2" x14ac:dyDescent="0.3">
      <c r="A4" s="10">
        <v>24</v>
      </c>
      <c r="B4" s="10">
        <v>44000</v>
      </c>
    </row>
    <row r="5" spans="1:2" x14ac:dyDescent="0.3">
      <c r="A5" s="11">
        <v>25</v>
      </c>
      <c r="B5" s="11">
        <v>43000</v>
      </c>
    </row>
    <row r="6" spans="1:2" x14ac:dyDescent="0.3">
      <c r="A6" s="11">
        <v>25</v>
      </c>
      <c r="B6" s="11">
        <v>48000</v>
      </c>
    </row>
    <row r="7" spans="1:2" x14ac:dyDescent="0.3">
      <c r="A7" s="11">
        <v>26</v>
      </c>
      <c r="B7" s="11">
        <v>49000</v>
      </c>
    </row>
    <row r="8" spans="1:2" x14ac:dyDescent="0.3">
      <c r="A8" s="10">
        <v>26</v>
      </c>
      <c r="B8" s="10">
        <v>45000</v>
      </c>
    </row>
    <row r="9" spans="1:2" x14ac:dyDescent="0.3">
      <c r="A9" s="11">
        <v>27</v>
      </c>
      <c r="B9" s="11">
        <v>46000</v>
      </c>
    </row>
    <row r="10" spans="1:2" x14ac:dyDescent="0.3">
      <c r="A10" s="10">
        <v>27</v>
      </c>
      <c r="B10" s="10">
        <v>48000</v>
      </c>
    </row>
    <row r="11" spans="1:2" x14ac:dyDescent="0.3">
      <c r="A11" s="11">
        <v>28</v>
      </c>
      <c r="B11" s="11">
        <v>46000</v>
      </c>
    </row>
    <row r="12" spans="1:2" x14ac:dyDescent="0.3">
      <c r="A12" s="11">
        <v>29</v>
      </c>
      <c r="B12" s="11">
        <v>47000</v>
      </c>
    </row>
    <row r="13" spans="1:2" x14ac:dyDescent="0.3">
      <c r="A13" s="11">
        <v>29</v>
      </c>
      <c r="B13" s="11">
        <v>49000</v>
      </c>
    </row>
    <row r="14" spans="1:2" x14ac:dyDescent="0.3">
      <c r="A14" s="10">
        <v>30</v>
      </c>
      <c r="B14" s="10">
        <v>52000</v>
      </c>
    </row>
    <row r="15" spans="1:2" x14ac:dyDescent="0.3">
      <c r="A15" s="10">
        <v>31</v>
      </c>
      <c r="B15" s="10">
        <v>55000</v>
      </c>
    </row>
    <row r="16" spans="1:2" x14ac:dyDescent="0.3">
      <c r="A16" s="10">
        <v>31</v>
      </c>
      <c r="B16" s="10">
        <v>52000</v>
      </c>
    </row>
    <row r="17" spans="1:2" x14ac:dyDescent="0.3">
      <c r="A17" s="11">
        <v>33</v>
      </c>
      <c r="B17" s="13">
        <f>MEDIAN(B4:B5,B7:B16,B18,B20:B49)</f>
        <v>65000</v>
      </c>
    </row>
    <row r="18" spans="1:2" x14ac:dyDescent="0.3">
      <c r="A18" s="11">
        <v>33</v>
      </c>
      <c r="B18" s="11">
        <v>58000</v>
      </c>
    </row>
    <row r="19" spans="1:2" x14ac:dyDescent="0.3">
      <c r="A19" s="11">
        <v>34</v>
      </c>
      <c r="B19" s="11">
        <v>52000</v>
      </c>
    </row>
    <row r="20" spans="1:2" x14ac:dyDescent="0.3">
      <c r="A20" s="10">
        <v>34</v>
      </c>
      <c r="B20" s="10">
        <v>53000</v>
      </c>
    </row>
    <row r="21" spans="1:2" x14ac:dyDescent="0.3">
      <c r="A21" s="10">
        <v>36</v>
      </c>
      <c r="B21" s="10">
        <v>59000</v>
      </c>
    </row>
    <row r="22" spans="1:2" x14ac:dyDescent="0.3">
      <c r="A22" s="10">
        <v>37</v>
      </c>
      <c r="B22" s="10">
        <v>60000</v>
      </c>
    </row>
    <row r="23" spans="1:2" x14ac:dyDescent="0.3">
      <c r="A23" s="10">
        <v>38</v>
      </c>
      <c r="B23" s="10">
        <v>71000</v>
      </c>
    </row>
    <row r="24" spans="1:2" x14ac:dyDescent="0.3">
      <c r="A24" s="10">
        <v>38</v>
      </c>
      <c r="B24" s="10">
        <v>60000</v>
      </c>
    </row>
    <row r="25" spans="1:2" x14ac:dyDescent="0.3">
      <c r="A25" s="10">
        <v>39</v>
      </c>
      <c r="B25" s="10">
        <v>67000</v>
      </c>
    </row>
    <row r="26" spans="1:2" x14ac:dyDescent="0.3">
      <c r="A26" s="11">
        <v>39</v>
      </c>
      <c r="B26" s="11">
        <v>55000</v>
      </c>
    </row>
    <row r="27" spans="1:2" x14ac:dyDescent="0.3">
      <c r="A27" s="11">
        <v>40</v>
      </c>
      <c r="B27" s="11">
        <v>55000</v>
      </c>
    </row>
    <row r="28" spans="1:2" x14ac:dyDescent="0.3">
      <c r="A28" s="11">
        <v>41</v>
      </c>
      <c r="B28" s="11">
        <v>57000</v>
      </c>
    </row>
    <row r="29" spans="1:2" x14ac:dyDescent="0.3">
      <c r="A29" s="11">
        <v>41</v>
      </c>
      <c r="B29" s="11">
        <v>68000</v>
      </c>
    </row>
    <row r="30" spans="1:2" x14ac:dyDescent="0.3">
      <c r="A30" s="11">
        <v>42</v>
      </c>
      <c r="B30" s="11">
        <v>65000</v>
      </c>
    </row>
    <row r="31" spans="1:2" x14ac:dyDescent="0.3">
      <c r="A31" s="12">
        <f>MEDIAN(A25:A30,A32:A70)</f>
        <v>47.5</v>
      </c>
      <c r="B31" s="10">
        <v>95000</v>
      </c>
    </row>
    <row r="32" spans="1:2" x14ac:dyDescent="0.3">
      <c r="A32" s="10">
        <v>45</v>
      </c>
      <c r="B32" s="12">
        <f>MEDIAN(B30:B31,B33:B42,B44,B46:B75)</f>
        <v>72000</v>
      </c>
    </row>
    <row r="33" spans="1:2" x14ac:dyDescent="0.3">
      <c r="A33" s="10">
        <v>45</v>
      </c>
      <c r="B33" s="10">
        <v>68000</v>
      </c>
    </row>
    <row r="34" spans="1:2" x14ac:dyDescent="0.3">
      <c r="A34" s="11">
        <v>46</v>
      </c>
      <c r="B34" s="13">
        <f>MEDIAN(B19:B20,B22:B31,B33,B35:B64)</f>
        <v>68000</v>
      </c>
    </row>
    <row r="35" spans="1:2" x14ac:dyDescent="0.3">
      <c r="A35" s="10">
        <v>47</v>
      </c>
      <c r="B35" s="10">
        <v>71000</v>
      </c>
    </row>
    <row r="36" spans="1:2" x14ac:dyDescent="0.3">
      <c r="A36" s="10">
        <v>47</v>
      </c>
      <c r="B36" s="10">
        <v>65000</v>
      </c>
    </row>
    <row r="37" spans="1:2" x14ac:dyDescent="0.3">
      <c r="A37" s="11">
        <v>48</v>
      </c>
      <c r="B37" s="11">
        <v>65000</v>
      </c>
    </row>
    <row r="38" spans="1:2" x14ac:dyDescent="0.3">
      <c r="A38" s="11">
        <v>49</v>
      </c>
      <c r="B38" s="11">
        <v>68000</v>
      </c>
    </row>
    <row r="39" spans="1:2" x14ac:dyDescent="0.3">
      <c r="A39" s="11">
        <v>50</v>
      </c>
      <c r="B39" s="11">
        <v>82000</v>
      </c>
    </row>
    <row r="40" spans="1:2" x14ac:dyDescent="0.3">
      <c r="A40" s="11">
        <v>51</v>
      </c>
      <c r="B40" s="11">
        <v>80000</v>
      </c>
    </row>
    <row r="41" spans="1:2" x14ac:dyDescent="0.3">
      <c r="A41" s="11">
        <v>52</v>
      </c>
      <c r="B41" s="11">
        <v>80000</v>
      </c>
    </row>
    <row r="42" spans="1:2" x14ac:dyDescent="0.3">
      <c r="A42" s="11">
        <v>52</v>
      </c>
      <c r="B42" s="11">
        <v>72000</v>
      </c>
    </row>
    <row r="43" spans="1:2" x14ac:dyDescent="0.3">
      <c r="A43" s="11">
        <v>53</v>
      </c>
      <c r="B43" s="11">
        <v>79000</v>
      </c>
    </row>
    <row r="44" spans="1:2" x14ac:dyDescent="0.3">
      <c r="A44" s="10">
        <v>55</v>
      </c>
      <c r="B44" s="10">
        <v>75000</v>
      </c>
    </row>
    <row r="45" spans="1:2" x14ac:dyDescent="0.3">
      <c r="A45" s="10">
        <v>56</v>
      </c>
      <c r="B45" s="10">
        <v>77000</v>
      </c>
    </row>
    <row r="46" spans="1:2" x14ac:dyDescent="0.3">
      <c r="A46" s="10">
        <v>59</v>
      </c>
      <c r="B46" s="10">
        <v>94000</v>
      </c>
    </row>
    <row r="47" spans="1:2" x14ac:dyDescent="0.3">
      <c r="A47" s="10">
        <v>62</v>
      </c>
      <c r="B47" s="10">
        <v>90000</v>
      </c>
    </row>
  </sheetData>
  <autoFilter ref="A1:B1" xr:uid="{64046756-3515-4DC8-BAB8-67C4EECDE32B}">
    <sortState xmlns:xlrd2="http://schemas.microsoft.com/office/spreadsheetml/2017/richdata2" ref="A2:B47">
      <sortCondition ref="A1"/>
    </sortState>
  </autoFilter>
  <pageMargins left="0.7" right="0.7" top="0.75" bottom="0.75" header="0.3" footer="0.3"/>
  <ignoredErrors>
    <ignoredError sqref="A31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0EC52-8A8D-4049-95AC-293EA6065E9C}">
  <dimension ref="A1"/>
  <sheetViews>
    <sheetView workbookViewId="0">
      <selection activeCell="N7" sqref="N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F8CBF-A0AB-4ABA-BF92-B04619156887}">
  <dimension ref="A1:B8"/>
  <sheetViews>
    <sheetView workbookViewId="0">
      <selection activeCell="C13" sqref="C13"/>
    </sheetView>
  </sheetViews>
  <sheetFormatPr defaultRowHeight="14.4" x14ac:dyDescent="0.3"/>
  <sheetData>
    <row r="1" spans="1:2" x14ac:dyDescent="0.3">
      <c r="A1" s="15" t="s">
        <v>18</v>
      </c>
      <c r="B1" s="15" t="s">
        <v>13</v>
      </c>
    </row>
    <row r="2" spans="1:2" x14ac:dyDescent="0.3">
      <c r="A2">
        <v>50000</v>
      </c>
      <c r="B2">
        <v>12</v>
      </c>
    </row>
    <row r="3" spans="1:2" x14ac:dyDescent="0.3">
      <c r="A3">
        <v>60000</v>
      </c>
      <c r="B3">
        <v>15</v>
      </c>
    </row>
    <row r="4" spans="1:2" x14ac:dyDescent="0.3">
      <c r="A4">
        <v>70000</v>
      </c>
      <c r="B4">
        <v>7</v>
      </c>
    </row>
    <row r="5" spans="1:2" x14ac:dyDescent="0.3">
      <c r="A5">
        <v>80000</v>
      </c>
      <c r="B5">
        <v>8</v>
      </c>
    </row>
    <row r="6" spans="1:2" x14ac:dyDescent="0.3">
      <c r="A6">
        <v>90000</v>
      </c>
      <c r="B6">
        <v>2</v>
      </c>
    </row>
    <row r="7" spans="1:2" x14ac:dyDescent="0.3">
      <c r="A7">
        <v>100000</v>
      </c>
      <c r="B7">
        <v>2</v>
      </c>
    </row>
    <row r="8" spans="1:2" ht="15" thickBot="1" x14ac:dyDescent="0.35">
      <c r="A8" s="14" t="s">
        <v>25</v>
      </c>
      <c r="B8" s="14">
        <v>0</v>
      </c>
    </row>
  </sheetData>
  <sortState xmlns:xlrd2="http://schemas.microsoft.com/office/spreadsheetml/2017/richdata2" ref="A2:A7">
    <sortCondition ref="A2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094A-8F94-436B-AA00-228A984354B3}">
  <dimension ref="A1:B47"/>
  <sheetViews>
    <sheetView workbookViewId="0">
      <selection activeCell="S10" sqref="S10"/>
    </sheetView>
  </sheetViews>
  <sheetFormatPr defaultRowHeight="14.4" x14ac:dyDescent="0.3"/>
  <sheetData>
    <row r="1" spans="1:2" x14ac:dyDescent="0.3">
      <c r="A1" s="9" t="s">
        <v>1</v>
      </c>
      <c r="B1" t="s">
        <v>8</v>
      </c>
    </row>
    <row r="2" spans="1:2" x14ac:dyDescent="0.3">
      <c r="A2" s="10">
        <v>23</v>
      </c>
      <c r="B2">
        <v>1</v>
      </c>
    </row>
    <row r="3" spans="1:2" x14ac:dyDescent="0.3">
      <c r="A3" s="11">
        <v>34</v>
      </c>
      <c r="B3">
        <v>1</v>
      </c>
    </row>
    <row r="4" spans="1:2" x14ac:dyDescent="0.3">
      <c r="A4" s="10">
        <v>45</v>
      </c>
      <c r="B4">
        <v>1</v>
      </c>
    </row>
    <row r="5" spans="1:2" x14ac:dyDescent="0.3">
      <c r="A5" s="11">
        <v>25</v>
      </c>
      <c r="B5">
        <v>1</v>
      </c>
    </row>
    <row r="6" spans="1:2" x14ac:dyDescent="0.3">
      <c r="A6" s="10">
        <v>36</v>
      </c>
      <c r="B6">
        <v>1</v>
      </c>
    </row>
    <row r="7" spans="1:2" x14ac:dyDescent="0.3">
      <c r="A7" s="11">
        <v>52</v>
      </c>
      <c r="B7">
        <v>1</v>
      </c>
    </row>
    <row r="8" spans="1:2" x14ac:dyDescent="0.3">
      <c r="A8" s="12">
        <f>MEDIAN(A2:A7,A9:A47)</f>
        <v>38</v>
      </c>
      <c r="B8">
        <v>1</v>
      </c>
    </row>
    <row r="9" spans="1:2" x14ac:dyDescent="0.3">
      <c r="A9" s="11">
        <v>27</v>
      </c>
      <c r="B9">
        <v>1</v>
      </c>
    </row>
    <row r="10" spans="1:2" x14ac:dyDescent="0.3">
      <c r="A10" s="10">
        <v>38</v>
      </c>
      <c r="B10">
        <v>1</v>
      </c>
    </row>
    <row r="11" spans="1:2" x14ac:dyDescent="0.3">
      <c r="A11" s="11">
        <v>48</v>
      </c>
      <c r="B11">
        <v>1</v>
      </c>
    </row>
    <row r="12" spans="1:2" x14ac:dyDescent="0.3">
      <c r="A12" s="10">
        <v>30</v>
      </c>
      <c r="B12">
        <v>1</v>
      </c>
    </row>
    <row r="13" spans="1:2" x14ac:dyDescent="0.3">
      <c r="A13" s="11">
        <v>41</v>
      </c>
      <c r="B13">
        <v>1</v>
      </c>
    </row>
    <row r="14" spans="1:2" x14ac:dyDescent="0.3">
      <c r="A14" s="10">
        <v>27</v>
      </c>
      <c r="B14">
        <v>1</v>
      </c>
    </row>
    <row r="15" spans="1:2" x14ac:dyDescent="0.3">
      <c r="A15" s="11">
        <v>33</v>
      </c>
      <c r="B15">
        <v>1</v>
      </c>
    </row>
    <row r="16" spans="1:2" x14ac:dyDescent="0.3">
      <c r="A16" s="10">
        <v>55</v>
      </c>
      <c r="B16">
        <v>1</v>
      </c>
    </row>
    <row r="17" spans="1:2" x14ac:dyDescent="0.3">
      <c r="A17" s="11">
        <v>46</v>
      </c>
      <c r="B17">
        <v>1</v>
      </c>
    </row>
    <row r="18" spans="1:2" x14ac:dyDescent="0.3">
      <c r="A18" s="10">
        <v>62</v>
      </c>
      <c r="B18">
        <v>1</v>
      </c>
    </row>
    <row r="19" spans="1:2" x14ac:dyDescent="0.3">
      <c r="A19" s="11">
        <v>29</v>
      </c>
      <c r="B19">
        <v>1</v>
      </c>
    </row>
    <row r="20" spans="1:2" x14ac:dyDescent="0.3">
      <c r="A20" s="10">
        <v>39</v>
      </c>
      <c r="B20">
        <v>1</v>
      </c>
    </row>
    <row r="21" spans="1:2" x14ac:dyDescent="0.3">
      <c r="A21" s="11">
        <v>50</v>
      </c>
      <c r="B21">
        <v>1</v>
      </c>
    </row>
    <row r="22" spans="1:2" x14ac:dyDescent="0.3">
      <c r="A22" s="10">
        <v>24</v>
      </c>
      <c r="B22">
        <v>1</v>
      </c>
    </row>
    <row r="23" spans="1:2" x14ac:dyDescent="0.3">
      <c r="A23" s="11">
        <v>28</v>
      </c>
      <c r="B23">
        <v>1</v>
      </c>
    </row>
    <row r="24" spans="1:2" x14ac:dyDescent="0.3">
      <c r="A24" s="10">
        <v>37</v>
      </c>
      <c r="B24">
        <v>1</v>
      </c>
    </row>
    <row r="25" spans="1:2" x14ac:dyDescent="0.3">
      <c r="A25" s="11">
        <v>41</v>
      </c>
      <c r="B25">
        <v>1</v>
      </c>
    </row>
    <row r="26" spans="1:2" x14ac:dyDescent="0.3">
      <c r="A26" s="10">
        <v>31</v>
      </c>
      <c r="B26">
        <v>1</v>
      </c>
    </row>
    <row r="27" spans="1:2" x14ac:dyDescent="0.3">
      <c r="A27" s="11">
        <v>53</v>
      </c>
      <c r="B27">
        <v>1</v>
      </c>
    </row>
    <row r="28" spans="1:2" x14ac:dyDescent="0.3">
      <c r="A28" s="10">
        <v>59</v>
      </c>
      <c r="B28">
        <v>1</v>
      </c>
    </row>
    <row r="29" spans="1:2" x14ac:dyDescent="0.3">
      <c r="A29" s="11">
        <v>26</v>
      </c>
      <c r="B29">
        <v>1</v>
      </c>
    </row>
    <row r="30" spans="1:2" x14ac:dyDescent="0.3">
      <c r="A30" s="10">
        <v>34</v>
      </c>
      <c r="B30">
        <v>1</v>
      </c>
    </row>
    <row r="31" spans="1:2" x14ac:dyDescent="0.3">
      <c r="A31" s="11">
        <v>49</v>
      </c>
      <c r="B31">
        <v>1</v>
      </c>
    </row>
    <row r="32" spans="1:2" x14ac:dyDescent="0.3">
      <c r="A32" s="10">
        <v>22</v>
      </c>
      <c r="B32">
        <v>1</v>
      </c>
    </row>
    <row r="33" spans="1:2" x14ac:dyDescent="0.3">
      <c r="A33" s="11">
        <v>40</v>
      </c>
      <c r="B33">
        <v>1</v>
      </c>
    </row>
    <row r="34" spans="1:2" x14ac:dyDescent="0.3">
      <c r="A34" s="10">
        <v>47</v>
      </c>
      <c r="B34">
        <v>1</v>
      </c>
    </row>
    <row r="35" spans="1:2" x14ac:dyDescent="0.3">
      <c r="A35" s="11">
        <v>29</v>
      </c>
      <c r="B35">
        <v>1</v>
      </c>
    </row>
    <row r="36" spans="1:2" x14ac:dyDescent="0.3">
      <c r="A36" s="10">
        <v>56</v>
      </c>
      <c r="B36">
        <v>1</v>
      </c>
    </row>
    <row r="37" spans="1:2" x14ac:dyDescent="0.3">
      <c r="A37" s="11">
        <v>42</v>
      </c>
      <c r="B37">
        <v>1</v>
      </c>
    </row>
    <row r="38" spans="1:2" x14ac:dyDescent="0.3">
      <c r="A38" s="10">
        <v>31</v>
      </c>
      <c r="B38">
        <v>1</v>
      </c>
    </row>
    <row r="39" spans="1:2" x14ac:dyDescent="0.3">
      <c r="A39" s="11">
        <v>33</v>
      </c>
      <c r="B39">
        <v>1</v>
      </c>
    </row>
    <row r="40" spans="1:2" x14ac:dyDescent="0.3">
      <c r="A40" s="10">
        <v>45</v>
      </c>
      <c r="B40">
        <v>1</v>
      </c>
    </row>
    <row r="41" spans="1:2" x14ac:dyDescent="0.3">
      <c r="A41" s="11">
        <v>51</v>
      </c>
      <c r="B41">
        <v>1</v>
      </c>
    </row>
    <row r="42" spans="1:2" x14ac:dyDescent="0.3">
      <c r="A42" s="10">
        <v>26</v>
      </c>
      <c r="B42">
        <v>1</v>
      </c>
    </row>
    <row r="43" spans="1:2" x14ac:dyDescent="0.3">
      <c r="A43" s="11">
        <v>39</v>
      </c>
      <c r="B43">
        <v>1</v>
      </c>
    </row>
    <row r="44" spans="1:2" x14ac:dyDescent="0.3">
      <c r="A44" s="10">
        <v>38</v>
      </c>
      <c r="B44">
        <v>1</v>
      </c>
    </row>
    <row r="45" spans="1:2" x14ac:dyDescent="0.3">
      <c r="A45" s="11">
        <v>52</v>
      </c>
      <c r="B45">
        <v>1</v>
      </c>
    </row>
    <row r="46" spans="1:2" x14ac:dyDescent="0.3">
      <c r="A46" s="10">
        <v>47</v>
      </c>
      <c r="B46">
        <v>1</v>
      </c>
    </row>
    <row r="47" spans="1:2" x14ac:dyDescent="0.3">
      <c r="A47" s="11">
        <v>25</v>
      </c>
      <c r="B47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E36EA-F379-43A4-9AA4-E9156B781998}">
  <dimension ref="A1:D48"/>
  <sheetViews>
    <sheetView zoomScale="130" zoomScaleNormal="130" workbookViewId="0">
      <selection activeCell="H3" sqref="H3:I3"/>
    </sheetView>
  </sheetViews>
  <sheetFormatPr defaultRowHeight="14.4" x14ac:dyDescent="0.3"/>
  <cols>
    <col min="1" max="4" width="9.88671875" customWidth="1"/>
  </cols>
  <sheetData>
    <row r="1" spans="1:4" x14ac:dyDescent="0.3">
      <c r="A1" s="9" t="s">
        <v>16</v>
      </c>
      <c r="B1" t="s">
        <v>17</v>
      </c>
      <c r="C1" s="4" t="s">
        <v>19</v>
      </c>
      <c r="D1" s="4" t="s">
        <v>28</v>
      </c>
    </row>
    <row r="2" spans="1:4" x14ac:dyDescent="0.3">
      <c r="A2" s="10">
        <v>30</v>
      </c>
      <c r="C2">
        <f t="shared" ref="C2:C47" si="0">INT(A2/10)</f>
        <v>3</v>
      </c>
      <c r="D2">
        <f t="shared" ref="D2:D47" si="1">MOD(A2, 10)</f>
        <v>0</v>
      </c>
    </row>
    <row r="3" spans="1:4" x14ac:dyDescent="0.3">
      <c r="A3" s="11">
        <v>40</v>
      </c>
      <c r="C3">
        <f t="shared" si="0"/>
        <v>4</v>
      </c>
      <c r="D3">
        <f t="shared" si="1"/>
        <v>0</v>
      </c>
    </row>
    <row r="4" spans="1:4" x14ac:dyDescent="0.3">
      <c r="A4" s="11">
        <v>50</v>
      </c>
      <c r="C4">
        <f t="shared" si="0"/>
        <v>5</v>
      </c>
      <c r="D4">
        <f t="shared" si="1"/>
        <v>0</v>
      </c>
    </row>
    <row r="5" spans="1:4" x14ac:dyDescent="0.3">
      <c r="A5" s="10">
        <v>31</v>
      </c>
      <c r="C5">
        <f t="shared" si="0"/>
        <v>3</v>
      </c>
      <c r="D5">
        <f t="shared" si="1"/>
        <v>1</v>
      </c>
    </row>
    <row r="6" spans="1:4" x14ac:dyDescent="0.3">
      <c r="A6" s="10">
        <v>31</v>
      </c>
      <c r="C6">
        <f t="shared" si="0"/>
        <v>3</v>
      </c>
      <c r="D6">
        <f t="shared" si="1"/>
        <v>1</v>
      </c>
    </row>
    <row r="7" spans="1:4" x14ac:dyDescent="0.3">
      <c r="A7" s="11">
        <v>41</v>
      </c>
      <c r="C7">
        <f t="shared" si="0"/>
        <v>4</v>
      </c>
      <c r="D7">
        <f t="shared" si="1"/>
        <v>1</v>
      </c>
    </row>
    <row r="8" spans="1:4" x14ac:dyDescent="0.3">
      <c r="A8" s="11">
        <v>41</v>
      </c>
      <c r="C8">
        <f t="shared" si="0"/>
        <v>4</v>
      </c>
      <c r="D8">
        <f t="shared" si="1"/>
        <v>1</v>
      </c>
    </row>
    <row r="9" spans="1:4" x14ac:dyDescent="0.3">
      <c r="A9" s="11">
        <v>51</v>
      </c>
      <c r="C9">
        <f t="shared" si="0"/>
        <v>5</v>
      </c>
      <c r="D9">
        <f t="shared" si="1"/>
        <v>1</v>
      </c>
    </row>
    <row r="10" spans="1:4" x14ac:dyDescent="0.3">
      <c r="A10" s="10">
        <v>22</v>
      </c>
      <c r="C10">
        <f t="shared" si="0"/>
        <v>2</v>
      </c>
      <c r="D10">
        <f t="shared" si="1"/>
        <v>2</v>
      </c>
    </row>
    <row r="11" spans="1:4" x14ac:dyDescent="0.3">
      <c r="A11" s="11">
        <v>42</v>
      </c>
      <c r="C11">
        <f t="shared" si="0"/>
        <v>4</v>
      </c>
      <c r="D11">
        <f t="shared" si="1"/>
        <v>2</v>
      </c>
    </row>
    <row r="12" spans="1:4" x14ac:dyDescent="0.3">
      <c r="A12" s="11">
        <v>52</v>
      </c>
      <c r="C12">
        <f t="shared" si="0"/>
        <v>5</v>
      </c>
      <c r="D12">
        <f t="shared" si="1"/>
        <v>2</v>
      </c>
    </row>
    <row r="13" spans="1:4" x14ac:dyDescent="0.3">
      <c r="A13" s="11">
        <v>52</v>
      </c>
      <c r="C13">
        <f t="shared" si="0"/>
        <v>5</v>
      </c>
      <c r="D13">
        <f t="shared" si="1"/>
        <v>2</v>
      </c>
    </row>
    <row r="14" spans="1:4" x14ac:dyDescent="0.3">
      <c r="A14" s="10">
        <v>62</v>
      </c>
      <c r="C14">
        <f t="shared" si="0"/>
        <v>6</v>
      </c>
      <c r="D14">
        <f t="shared" si="1"/>
        <v>2</v>
      </c>
    </row>
    <row r="15" spans="1:4" x14ac:dyDescent="0.3">
      <c r="A15" s="10">
        <v>23</v>
      </c>
      <c r="C15">
        <f t="shared" si="0"/>
        <v>2</v>
      </c>
      <c r="D15">
        <f t="shared" si="1"/>
        <v>3</v>
      </c>
    </row>
    <row r="16" spans="1:4" x14ac:dyDescent="0.3">
      <c r="A16" s="11">
        <v>33</v>
      </c>
      <c r="C16">
        <f t="shared" si="0"/>
        <v>3</v>
      </c>
      <c r="D16">
        <f t="shared" si="1"/>
        <v>3</v>
      </c>
    </row>
    <row r="17" spans="1:4" x14ac:dyDescent="0.3">
      <c r="A17" s="11">
        <v>33</v>
      </c>
      <c r="C17">
        <f t="shared" si="0"/>
        <v>3</v>
      </c>
      <c r="D17">
        <f t="shared" si="1"/>
        <v>3</v>
      </c>
    </row>
    <row r="18" spans="1:4" x14ac:dyDescent="0.3">
      <c r="A18" s="11">
        <v>53</v>
      </c>
      <c r="C18">
        <f t="shared" si="0"/>
        <v>5</v>
      </c>
      <c r="D18">
        <f t="shared" si="1"/>
        <v>3</v>
      </c>
    </row>
    <row r="19" spans="1:4" x14ac:dyDescent="0.3">
      <c r="A19" s="10">
        <v>24</v>
      </c>
      <c r="C19">
        <f t="shared" si="0"/>
        <v>2</v>
      </c>
      <c r="D19">
        <f t="shared" si="1"/>
        <v>4</v>
      </c>
    </row>
    <row r="20" spans="1:4" x14ac:dyDescent="0.3">
      <c r="A20" s="11">
        <v>34</v>
      </c>
      <c r="C20">
        <f t="shared" si="0"/>
        <v>3</v>
      </c>
      <c r="D20">
        <f t="shared" si="1"/>
        <v>4</v>
      </c>
    </row>
    <row r="21" spans="1:4" x14ac:dyDescent="0.3">
      <c r="A21" s="10">
        <v>34</v>
      </c>
      <c r="C21">
        <f t="shared" si="0"/>
        <v>3</v>
      </c>
      <c r="D21">
        <f t="shared" si="1"/>
        <v>4</v>
      </c>
    </row>
    <row r="22" spans="1:4" x14ac:dyDescent="0.3">
      <c r="A22" s="11">
        <v>25</v>
      </c>
      <c r="C22">
        <f t="shared" si="0"/>
        <v>2</v>
      </c>
      <c r="D22">
        <f t="shared" si="1"/>
        <v>5</v>
      </c>
    </row>
    <row r="23" spans="1:4" x14ac:dyDescent="0.3">
      <c r="A23" s="11">
        <v>25</v>
      </c>
      <c r="C23">
        <f t="shared" si="0"/>
        <v>2</v>
      </c>
      <c r="D23">
        <f t="shared" si="1"/>
        <v>5</v>
      </c>
    </row>
    <row r="24" spans="1:4" x14ac:dyDescent="0.3">
      <c r="A24" s="10">
        <v>45</v>
      </c>
      <c r="C24">
        <f t="shared" si="0"/>
        <v>4</v>
      </c>
      <c r="D24">
        <f t="shared" si="1"/>
        <v>5</v>
      </c>
    </row>
    <row r="25" spans="1:4" x14ac:dyDescent="0.3">
      <c r="A25" s="10">
        <v>45</v>
      </c>
      <c r="C25">
        <f t="shared" si="0"/>
        <v>4</v>
      </c>
      <c r="D25">
        <f t="shared" si="1"/>
        <v>5</v>
      </c>
    </row>
    <row r="26" spans="1:4" x14ac:dyDescent="0.3">
      <c r="A26" s="10">
        <v>55</v>
      </c>
      <c r="C26">
        <f t="shared" si="0"/>
        <v>5</v>
      </c>
      <c r="D26">
        <f t="shared" si="1"/>
        <v>5</v>
      </c>
    </row>
    <row r="27" spans="1:4" x14ac:dyDescent="0.3">
      <c r="A27" s="11">
        <v>26</v>
      </c>
      <c r="C27">
        <f t="shared" si="0"/>
        <v>2</v>
      </c>
      <c r="D27">
        <f t="shared" si="1"/>
        <v>6</v>
      </c>
    </row>
    <row r="28" spans="1:4" x14ac:dyDescent="0.3">
      <c r="A28" s="10">
        <v>26</v>
      </c>
      <c r="C28">
        <f t="shared" si="0"/>
        <v>2</v>
      </c>
      <c r="D28">
        <f t="shared" si="1"/>
        <v>6</v>
      </c>
    </row>
    <row r="29" spans="1:4" x14ac:dyDescent="0.3">
      <c r="A29" s="10">
        <v>36</v>
      </c>
      <c r="C29">
        <f t="shared" si="0"/>
        <v>3</v>
      </c>
      <c r="D29">
        <f t="shared" si="1"/>
        <v>6</v>
      </c>
    </row>
    <row r="30" spans="1:4" x14ac:dyDescent="0.3">
      <c r="A30" s="11">
        <v>46</v>
      </c>
      <c r="C30">
        <f t="shared" si="0"/>
        <v>4</v>
      </c>
      <c r="D30">
        <f t="shared" si="1"/>
        <v>6</v>
      </c>
    </row>
    <row r="31" spans="1:4" x14ac:dyDescent="0.3">
      <c r="A31" s="10">
        <v>56</v>
      </c>
      <c r="C31">
        <f t="shared" si="0"/>
        <v>5</v>
      </c>
      <c r="D31">
        <f t="shared" si="1"/>
        <v>6</v>
      </c>
    </row>
    <row r="32" spans="1:4" x14ac:dyDescent="0.3">
      <c r="A32" s="11">
        <v>27</v>
      </c>
      <c r="C32">
        <f t="shared" si="0"/>
        <v>2</v>
      </c>
      <c r="D32">
        <f t="shared" si="1"/>
        <v>7</v>
      </c>
    </row>
    <row r="33" spans="1:4" x14ac:dyDescent="0.3">
      <c r="A33" s="10">
        <v>27</v>
      </c>
      <c r="C33">
        <f t="shared" si="0"/>
        <v>2</v>
      </c>
      <c r="D33">
        <f t="shared" si="1"/>
        <v>7</v>
      </c>
    </row>
    <row r="34" spans="1:4" x14ac:dyDescent="0.3">
      <c r="A34" s="10">
        <v>37</v>
      </c>
      <c r="C34">
        <f t="shared" si="0"/>
        <v>3</v>
      </c>
      <c r="D34">
        <f t="shared" si="1"/>
        <v>7</v>
      </c>
    </row>
    <row r="35" spans="1:4" x14ac:dyDescent="0.3">
      <c r="A35" s="10">
        <v>47</v>
      </c>
      <c r="C35">
        <f t="shared" si="0"/>
        <v>4</v>
      </c>
      <c r="D35">
        <f t="shared" si="1"/>
        <v>7</v>
      </c>
    </row>
    <row r="36" spans="1:4" x14ac:dyDescent="0.3">
      <c r="A36" s="10">
        <v>47</v>
      </c>
      <c r="C36">
        <f t="shared" si="0"/>
        <v>4</v>
      </c>
      <c r="D36">
        <f t="shared" si="1"/>
        <v>7</v>
      </c>
    </row>
    <row r="37" spans="1:4" x14ac:dyDescent="0.3">
      <c r="A37" s="11">
        <v>28</v>
      </c>
      <c r="C37">
        <f t="shared" si="0"/>
        <v>2</v>
      </c>
      <c r="D37">
        <f t="shared" si="1"/>
        <v>8</v>
      </c>
    </row>
    <row r="38" spans="1:4" x14ac:dyDescent="0.3">
      <c r="A38" s="10">
        <v>38</v>
      </c>
      <c r="C38">
        <f t="shared" si="0"/>
        <v>3</v>
      </c>
      <c r="D38">
        <f t="shared" si="1"/>
        <v>8</v>
      </c>
    </row>
    <row r="39" spans="1:4" x14ac:dyDescent="0.3">
      <c r="A39" s="10">
        <v>38</v>
      </c>
      <c r="C39">
        <f t="shared" si="0"/>
        <v>3</v>
      </c>
      <c r="D39">
        <f t="shared" si="1"/>
        <v>8</v>
      </c>
    </row>
    <row r="40" spans="1:4" x14ac:dyDescent="0.3">
      <c r="A40" s="11">
        <v>48</v>
      </c>
      <c r="C40">
        <f t="shared" si="0"/>
        <v>4</v>
      </c>
      <c r="D40">
        <f t="shared" si="1"/>
        <v>8</v>
      </c>
    </row>
    <row r="41" spans="1:4" x14ac:dyDescent="0.3">
      <c r="A41" s="12">
        <f>MEDIAN(A37:A40,A42:A80)</f>
        <v>38.5</v>
      </c>
      <c r="C41">
        <f t="shared" si="0"/>
        <v>3</v>
      </c>
      <c r="D41">
        <f t="shared" si="1"/>
        <v>8.5</v>
      </c>
    </row>
    <row r="42" spans="1:4" x14ac:dyDescent="0.3">
      <c r="A42" s="11">
        <v>29</v>
      </c>
      <c r="C42">
        <f t="shared" si="0"/>
        <v>2</v>
      </c>
      <c r="D42">
        <f t="shared" si="1"/>
        <v>9</v>
      </c>
    </row>
    <row r="43" spans="1:4" x14ac:dyDescent="0.3">
      <c r="A43" s="11">
        <v>29</v>
      </c>
      <c r="C43">
        <f t="shared" si="0"/>
        <v>2</v>
      </c>
      <c r="D43">
        <f t="shared" si="1"/>
        <v>9</v>
      </c>
    </row>
    <row r="44" spans="1:4" x14ac:dyDescent="0.3">
      <c r="A44" s="10">
        <v>39</v>
      </c>
      <c r="C44">
        <f t="shared" si="0"/>
        <v>3</v>
      </c>
      <c r="D44">
        <f t="shared" si="1"/>
        <v>9</v>
      </c>
    </row>
    <row r="45" spans="1:4" x14ac:dyDescent="0.3">
      <c r="A45" s="11">
        <v>39</v>
      </c>
      <c r="C45">
        <f t="shared" si="0"/>
        <v>3</v>
      </c>
      <c r="D45">
        <f t="shared" si="1"/>
        <v>9</v>
      </c>
    </row>
    <row r="46" spans="1:4" x14ac:dyDescent="0.3">
      <c r="A46" s="11">
        <v>49</v>
      </c>
      <c r="C46">
        <f t="shared" si="0"/>
        <v>4</v>
      </c>
      <c r="D46">
        <f t="shared" si="1"/>
        <v>9</v>
      </c>
    </row>
    <row r="47" spans="1:4" x14ac:dyDescent="0.3">
      <c r="A47" s="10">
        <v>59</v>
      </c>
      <c r="C47">
        <f t="shared" si="0"/>
        <v>5</v>
      </c>
      <c r="D47">
        <f t="shared" si="1"/>
        <v>9</v>
      </c>
    </row>
    <row r="48" spans="1:4" x14ac:dyDescent="0.3">
      <c r="A48" s="9" t="s">
        <v>1</v>
      </c>
      <c r="C48" s="4" t="s">
        <v>26</v>
      </c>
      <c r="D48" s="4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3.1</vt:lpstr>
      <vt:lpstr>3.2</vt:lpstr>
      <vt:lpstr>3.3</vt:lpstr>
      <vt:lpstr>3.4</vt:lpstr>
      <vt:lpstr>3.5</vt:lpstr>
      <vt:lpstr>3.6</vt:lpstr>
      <vt:lpstr>Sheet5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Jay Sheth</cp:lastModifiedBy>
  <dcterms:created xsi:type="dcterms:W3CDTF">2026-03-27T05:37:46Z</dcterms:created>
  <dcterms:modified xsi:type="dcterms:W3CDTF">2026-04-07T04:10:04Z</dcterms:modified>
</cp:coreProperties>
</file>